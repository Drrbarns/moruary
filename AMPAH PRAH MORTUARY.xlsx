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eped\Downloads\"/>
    </mc:Choice>
  </mc:AlternateContent>
  <xr:revisionPtr revIDLastSave="0" documentId="13_ncr:1_{0346B94C-FBE6-454C-8F6D-E7A87A2A27FC}" xr6:coauthVersionLast="47" xr6:coauthVersionMax="47" xr10:uidLastSave="{00000000-0000-0000-0000-000000000000}"/>
  <bookViews>
    <workbookView xWindow="-108" yWindow="-108" windowWidth="23256" windowHeight="12456" xr2:uid="{7C5C83E8-4AE6-43BA-944D-46E586C884FE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Sheet1!$A$1:$R$272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72" i="1" l="1"/>
  <c r="Q272" i="1" a="1"/>
  <c r="Q272" i="1" s="1"/>
  <c r="L272" i="1"/>
  <c r="R271" i="1"/>
  <c r="Q271" i="1" a="1"/>
  <c r="Q271" i="1" s="1"/>
  <c r="L271" i="1"/>
  <c r="R270" i="1"/>
  <c r="Q270" i="1" a="1"/>
  <c r="Q270" i="1" s="1"/>
  <c r="L270" i="1"/>
  <c r="R269" i="1"/>
  <c r="Q269" i="1" a="1"/>
  <c r="Q269" i="1" s="1"/>
  <c r="L269" i="1"/>
  <c r="R268" i="1"/>
  <c r="Q268" i="1" a="1"/>
  <c r="Q268" i="1" s="1"/>
  <c r="L268" i="1"/>
  <c r="R267" i="1"/>
  <c r="Q267" i="1" a="1"/>
  <c r="Q267" i="1" s="1"/>
  <c r="L267" i="1"/>
  <c r="R266" i="1"/>
  <c r="Q266" i="1" a="1"/>
  <c r="Q266" i="1" s="1"/>
  <c r="L266" i="1"/>
  <c r="R265" i="1"/>
  <c r="Q265" i="1" a="1"/>
  <c r="Q265" i="1" s="1"/>
  <c r="L265" i="1"/>
  <c r="R264" i="1"/>
  <c r="Q264" i="1" a="1"/>
  <c r="Q264" i="1" s="1"/>
  <c r="L264" i="1"/>
  <c r="L263" i="1"/>
  <c r="L262" i="1"/>
  <c r="R261" i="1"/>
  <c r="Q261" i="1" a="1"/>
  <c r="Q261" i="1" s="1"/>
  <c r="L261" i="1"/>
  <c r="R260" i="1"/>
  <c r="Q260" i="1" a="1"/>
  <c r="Q260" i="1" s="1"/>
  <c r="L260" i="1"/>
  <c r="R259" i="1"/>
  <c r="Q259" i="1" a="1"/>
  <c r="Q259" i="1" s="1"/>
  <c r="L259" i="1"/>
  <c r="R258" i="1"/>
  <c r="Q258" i="1" a="1"/>
  <c r="Q258" i="1" s="1"/>
  <c r="L258" i="1"/>
  <c r="R257" i="1"/>
  <c r="Q257" i="1" a="1"/>
  <c r="Q257" i="1" s="1"/>
  <c r="L257" i="1"/>
  <c r="R256" i="1"/>
  <c r="Q256" i="1" a="1"/>
  <c r="Q256" i="1" s="1"/>
  <c r="L256" i="1"/>
  <c r="R255" i="1"/>
  <c r="Q255" i="1" a="1"/>
  <c r="Q255" i="1" s="1"/>
  <c r="L255" i="1"/>
  <c r="R254" i="1"/>
  <c r="Q254" i="1" a="1"/>
  <c r="Q254" i="1" s="1"/>
  <c r="L254" i="1"/>
  <c r="R253" i="1"/>
  <c r="Q253" i="1" a="1"/>
  <c r="Q253" i="1" s="1"/>
  <c r="L253" i="1"/>
  <c r="R252" i="1"/>
  <c r="Q252" i="1" a="1"/>
  <c r="Q252" i="1" s="1"/>
  <c r="L252" i="1"/>
  <c r="R251" i="1"/>
  <c r="Q251" i="1" a="1"/>
  <c r="Q251" i="1" s="1"/>
  <c r="L251" i="1"/>
  <c r="R250" i="1"/>
  <c r="Q250" i="1" a="1"/>
  <c r="Q250" i="1" s="1"/>
  <c r="L250" i="1"/>
  <c r="R249" i="1"/>
  <c r="Q249" i="1" a="1"/>
  <c r="Q249" i="1" s="1"/>
  <c r="L249" i="1"/>
  <c r="R248" i="1"/>
  <c r="Q248" i="1" a="1"/>
  <c r="Q248" i="1" s="1"/>
  <c r="L248" i="1"/>
  <c r="R247" i="1"/>
  <c r="Q247" i="1" a="1"/>
  <c r="Q247" i="1" s="1"/>
  <c r="L247" i="1"/>
  <c r="R246" i="1"/>
  <c r="Q246" i="1" a="1"/>
  <c r="Q246" i="1" s="1"/>
  <c r="L246" i="1"/>
  <c r="R245" i="1"/>
  <c r="Q245" i="1" a="1"/>
  <c r="Q245" i="1" s="1"/>
  <c r="L245" i="1"/>
  <c r="R244" i="1"/>
  <c r="Q244" i="1" a="1"/>
  <c r="Q244" i="1" s="1"/>
  <c r="L244" i="1"/>
  <c r="R243" i="1"/>
  <c r="Q243" i="1" a="1"/>
  <c r="Q243" i="1" s="1"/>
  <c r="L243" i="1"/>
  <c r="R242" i="1"/>
  <c r="Q242" i="1" a="1"/>
  <c r="Q242" i="1" s="1"/>
  <c r="L242" i="1"/>
  <c r="R241" i="1"/>
  <c r="Q241" i="1" a="1"/>
  <c r="Q241" i="1" s="1"/>
  <c r="L241" i="1"/>
  <c r="R240" i="1"/>
  <c r="Q240" i="1" a="1"/>
  <c r="Q240" i="1" s="1"/>
  <c r="L240" i="1"/>
  <c r="R239" i="1"/>
  <c r="Q239" i="1" a="1"/>
  <c r="Q239" i="1" s="1"/>
  <c r="L239" i="1"/>
  <c r="R238" i="1"/>
  <c r="Q238" i="1" a="1"/>
  <c r="Q238" i="1" s="1"/>
  <c r="L238" i="1"/>
  <c r="R237" i="1"/>
  <c r="Q237" i="1" a="1"/>
  <c r="Q237" i="1" s="1"/>
  <c r="L237" i="1"/>
  <c r="R236" i="1"/>
  <c r="Q236" i="1" a="1"/>
  <c r="Q236" i="1" s="1"/>
  <c r="L236" i="1"/>
  <c r="R235" i="1"/>
  <c r="Q235" i="1" a="1"/>
  <c r="Q235" i="1" s="1"/>
  <c r="L235" i="1"/>
  <c r="R234" i="1"/>
  <c r="Q234" i="1" a="1"/>
  <c r="Q234" i="1" s="1"/>
  <c r="L234" i="1"/>
  <c r="R233" i="1"/>
  <c r="Q233" i="1" a="1"/>
  <c r="Q233" i="1" s="1"/>
  <c r="L233" i="1"/>
  <c r="R232" i="1"/>
  <c r="Q232" i="1" a="1"/>
  <c r="Q232" i="1" s="1"/>
  <c r="L232" i="1"/>
  <c r="R231" i="1"/>
  <c r="Q231" i="1" a="1"/>
  <c r="Q231" i="1" s="1"/>
  <c r="L231" i="1"/>
  <c r="R230" i="1"/>
  <c r="Q230" i="1" a="1"/>
  <c r="Q230" i="1" s="1"/>
  <c r="L230" i="1"/>
  <c r="R229" i="1"/>
  <c r="Q229" i="1" a="1"/>
  <c r="Q229" i="1" s="1"/>
  <c r="L229" i="1"/>
  <c r="R228" i="1"/>
  <c r="Q228" i="1" a="1"/>
  <c r="Q228" i="1" s="1"/>
  <c r="L228" i="1"/>
  <c r="R227" i="1"/>
  <c r="Q227" i="1" a="1"/>
  <c r="Q227" i="1" s="1"/>
  <c r="L227" i="1"/>
  <c r="R226" i="1"/>
  <c r="Q226" i="1" a="1"/>
  <c r="Q226" i="1" s="1"/>
  <c r="L226" i="1"/>
  <c r="R225" i="1"/>
  <c r="Q225" i="1" a="1"/>
  <c r="Q225" i="1" s="1"/>
  <c r="L225" i="1"/>
  <c r="R224" i="1"/>
  <c r="Q224" i="1" a="1"/>
  <c r="Q224" i="1" s="1"/>
  <c r="L224" i="1"/>
  <c r="R223" i="1"/>
  <c r="Q223" i="1" a="1"/>
  <c r="Q223" i="1" s="1"/>
  <c r="L223" i="1"/>
  <c r="R222" i="1"/>
  <c r="Q222" i="1" a="1"/>
  <c r="Q222" i="1" s="1"/>
  <c r="L222" i="1"/>
  <c r="R221" i="1"/>
  <c r="Q221" i="1" a="1"/>
  <c r="Q221" i="1" s="1"/>
  <c r="L221" i="1"/>
  <c r="R220" i="1"/>
  <c r="Q220" i="1" a="1"/>
  <c r="Q220" i="1" s="1"/>
  <c r="L220" i="1"/>
  <c r="R219" i="1"/>
  <c r="Q219" i="1" a="1"/>
  <c r="Q219" i="1" s="1"/>
  <c r="L219" i="1"/>
  <c r="R218" i="1"/>
  <c r="Q218" i="1" a="1"/>
  <c r="Q218" i="1" s="1"/>
  <c r="L218" i="1"/>
  <c r="R217" i="1"/>
  <c r="Q217" i="1" a="1"/>
  <c r="Q217" i="1" s="1"/>
  <c r="L217" i="1"/>
  <c r="R216" i="1"/>
  <c r="Q216" i="1" a="1"/>
  <c r="Q216" i="1" s="1"/>
  <c r="L216" i="1"/>
  <c r="R215" i="1"/>
  <c r="Q215" i="1" a="1"/>
  <c r="Q215" i="1" s="1"/>
  <c r="L215" i="1"/>
  <c r="R214" i="1"/>
  <c r="Q214" i="1" a="1"/>
  <c r="Q214" i="1" s="1"/>
  <c r="L214" i="1"/>
  <c r="R213" i="1"/>
  <c r="Q213" i="1" a="1"/>
  <c r="Q213" i="1" s="1"/>
  <c r="L213" i="1"/>
  <c r="R212" i="1"/>
  <c r="Q212" i="1" a="1"/>
  <c r="Q212" i="1" s="1"/>
  <c r="L212" i="1"/>
  <c r="R211" i="1"/>
  <c r="Q211" i="1" a="1"/>
  <c r="Q211" i="1" s="1"/>
  <c r="L211" i="1"/>
  <c r="R210" i="1"/>
  <c r="Q210" i="1" a="1"/>
  <c r="Q210" i="1" s="1"/>
  <c r="L210" i="1"/>
  <c r="R209" i="1"/>
  <c r="Q209" i="1" a="1"/>
  <c r="Q209" i="1" s="1"/>
  <c r="L209" i="1"/>
  <c r="R208" i="1"/>
  <c r="Q208" i="1" a="1"/>
  <c r="Q208" i="1" s="1"/>
  <c r="L208" i="1"/>
  <c r="R207" i="1"/>
  <c r="Q207" i="1" a="1"/>
  <c r="Q207" i="1" s="1"/>
  <c r="L207" i="1"/>
  <c r="R206" i="1"/>
  <c r="Q206" i="1" a="1"/>
  <c r="Q206" i="1" s="1"/>
  <c r="L206" i="1"/>
  <c r="R205" i="1"/>
  <c r="Q205" i="1" a="1"/>
  <c r="Q205" i="1" s="1"/>
  <c r="L205" i="1"/>
  <c r="R204" i="1"/>
  <c r="Q204" i="1" a="1"/>
  <c r="Q204" i="1" s="1"/>
  <c r="L204" i="1"/>
  <c r="R203" i="1"/>
  <c r="Q203" i="1" a="1"/>
  <c r="Q203" i="1" s="1"/>
  <c r="L203" i="1"/>
  <c r="R202" i="1"/>
  <c r="Q202" i="1" a="1"/>
  <c r="Q202" i="1" s="1"/>
  <c r="L202" i="1"/>
  <c r="R201" i="1"/>
  <c r="Q201" i="1" a="1"/>
  <c r="Q201" i="1" s="1"/>
  <c r="L201" i="1"/>
  <c r="R200" i="1"/>
  <c r="Q200" i="1" a="1"/>
  <c r="Q200" i="1" s="1"/>
  <c r="L200" i="1"/>
  <c r="R199" i="1"/>
  <c r="Q199" i="1" a="1"/>
  <c r="Q199" i="1" s="1"/>
  <c r="L199" i="1"/>
  <c r="R198" i="1"/>
  <c r="Q198" i="1" a="1"/>
  <c r="Q198" i="1" s="1"/>
  <c r="L198" i="1"/>
  <c r="R197" i="1"/>
  <c r="Q197" i="1" a="1"/>
  <c r="Q197" i="1" s="1"/>
  <c r="L197" i="1"/>
  <c r="R196" i="1"/>
  <c r="Q196" i="1" a="1"/>
  <c r="Q196" i="1" s="1"/>
  <c r="L196" i="1"/>
  <c r="R195" i="1"/>
  <c r="Q195" i="1" a="1"/>
  <c r="Q195" i="1" s="1"/>
  <c r="L195" i="1"/>
  <c r="R194" i="1"/>
  <c r="Q194" i="1" a="1"/>
  <c r="Q194" i="1" s="1"/>
  <c r="L194" i="1"/>
  <c r="R193" i="1"/>
  <c r="Q193" i="1" a="1"/>
  <c r="Q193" i="1" s="1"/>
  <c r="L193" i="1"/>
  <c r="R192" i="1"/>
  <c r="Q192" i="1" a="1"/>
  <c r="Q192" i="1" s="1"/>
  <c r="L192" i="1"/>
  <c r="R191" i="1"/>
  <c r="Q191" i="1" a="1"/>
  <c r="Q191" i="1" s="1"/>
  <c r="L191" i="1"/>
  <c r="R190" i="1"/>
  <c r="Q190" i="1" a="1"/>
  <c r="Q190" i="1" s="1"/>
  <c r="L190" i="1"/>
  <c r="R189" i="1"/>
  <c r="Q189" i="1" a="1"/>
  <c r="Q189" i="1" s="1"/>
  <c r="L189" i="1"/>
  <c r="R188" i="1"/>
  <c r="Q188" i="1" a="1"/>
  <c r="Q188" i="1" s="1"/>
  <c r="L188" i="1"/>
  <c r="R187" i="1"/>
  <c r="Q187" i="1" a="1"/>
  <c r="Q187" i="1" s="1"/>
  <c r="L187" i="1"/>
  <c r="R186" i="1"/>
  <c r="Q186" i="1" a="1"/>
  <c r="Q186" i="1" s="1"/>
  <c r="L186" i="1"/>
  <c r="R185" i="1"/>
  <c r="Q185" i="1" a="1"/>
  <c r="Q185" i="1" s="1"/>
  <c r="L185" i="1"/>
  <c r="R184" i="1"/>
  <c r="Q184" i="1" a="1"/>
  <c r="Q184" i="1" s="1"/>
  <c r="L184" i="1"/>
  <c r="R183" i="1"/>
  <c r="Q183" i="1" a="1"/>
  <c r="Q183" i="1" s="1"/>
  <c r="L183" i="1"/>
  <c r="R182" i="1"/>
  <c r="Q182" i="1" a="1"/>
  <c r="Q182" i="1" s="1"/>
  <c r="L182" i="1"/>
  <c r="R181" i="1"/>
  <c r="Q181" i="1" a="1"/>
  <c r="Q181" i="1" s="1"/>
  <c r="L181" i="1"/>
  <c r="R180" i="1"/>
  <c r="Q180" i="1" a="1"/>
  <c r="Q180" i="1" s="1"/>
  <c r="L180" i="1"/>
  <c r="R179" i="1"/>
  <c r="Q179" i="1" a="1"/>
  <c r="Q179" i="1" s="1"/>
  <c r="L179" i="1"/>
  <c r="R178" i="1"/>
  <c r="Q178" i="1" a="1"/>
  <c r="Q178" i="1" s="1"/>
  <c r="L178" i="1"/>
  <c r="R177" i="1"/>
  <c r="Q177" i="1" a="1"/>
  <c r="Q177" i="1" s="1"/>
  <c r="L177" i="1"/>
  <c r="R176" i="1"/>
  <c r="Q176" i="1" a="1"/>
  <c r="Q176" i="1" s="1"/>
  <c r="L176" i="1"/>
  <c r="R175" i="1"/>
  <c r="Q175" i="1" a="1"/>
  <c r="Q175" i="1" s="1"/>
  <c r="L175" i="1"/>
  <c r="R174" i="1"/>
  <c r="Q174" i="1" a="1"/>
  <c r="Q174" i="1" s="1"/>
  <c r="L174" i="1"/>
  <c r="R173" i="1"/>
  <c r="Q173" i="1" a="1"/>
  <c r="Q173" i="1" s="1"/>
  <c r="L173" i="1"/>
  <c r="R172" i="1"/>
  <c r="Q172" i="1"/>
  <c r="Q172" i="1" a="1"/>
  <c r="L172" i="1"/>
  <c r="R171" i="1"/>
  <c r="Q171" i="1" a="1"/>
  <c r="Q171" i="1" s="1"/>
  <c r="L171" i="1"/>
  <c r="R170" i="1"/>
  <c r="Q170" i="1" a="1"/>
  <c r="Q170" i="1" s="1"/>
  <c r="L170" i="1"/>
  <c r="R169" i="1"/>
  <c r="Q169" i="1" a="1"/>
  <c r="Q169" i="1" s="1"/>
  <c r="L169" i="1"/>
  <c r="R168" i="1"/>
  <c r="Q168" i="1" a="1"/>
  <c r="Q168" i="1" s="1"/>
  <c r="L168" i="1"/>
  <c r="R167" i="1"/>
  <c r="Q167" i="1" a="1"/>
  <c r="Q167" i="1" s="1"/>
  <c r="L167" i="1"/>
  <c r="R166" i="1"/>
  <c r="Q166" i="1" a="1"/>
  <c r="Q166" i="1" s="1"/>
  <c r="L166" i="1"/>
  <c r="R165" i="1"/>
  <c r="Q165" i="1" a="1"/>
  <c r="Q165" i="1" s="1"/>
  <c r="L165" i="1"/>
  <c r="R164" i="1"/>
  <c r="Q164" i="1" a="1"/>
  <c r="Q164" i="1" s="1"/>
  <c r="L164" i="1"/>
  <c r="R163" i="1"/>
  <c r="Q163" i="1" a="1"/>
  <c r="Q163" i="1" s="1"/>
  <c r="L163" i="1"/>
  <c r="R162" i="1"/>
  <c r="Q162" i="1" a="1"/>
  <c r="Q162" i="1" s="1"/>
  <c r="L162" i="1"/>
  <c r="R161" i="1"/>
  <c r="Q161" i="1" a="1"/>
  <c r="Q161" i="1" s="1"/>
  <c r="L161" i="1"/>
  <c r="R160" i="1"/>
  <c r="Q160" i="1" a="1"/>
  <c r="Q160" i="1" s="1"/>
  <c r="L160" i="1"/>
  <c r="R159" i="1"/>
  <c r="Q159" i="1" a="1"/>
  <c r="Q159" i="1" s="1"/>
  <c r="L159" i="1"/>
  <c r="R158" i="1"/>
  <c r="Q158" i="1" a="1"/>
  <c r="Q158" i="1" s="1"/>
  <c r="L158" i="1"/>
  <c r="R157" i="1"/>
  <c r="Q157" i="1" a="1"/>
  <c r="Q157" i="1" s="1"/>
  <c r="L157" i="1"/>
  <c r="R156" i="1"/>
  <c r="Q156" i="1" a="1"/>
  <c r="Q156" i="1" s="1"/>
  <c r="L156" i="1"/>
  <c r="R155" i="1"/>
  <c r="Q155" i="1" a="1"/>
  <c r="Q155" i="1" s="1"/>
  <c r="L155" i="1"/>
  <c r="R154" i="1"/>
  <c r="Q154" i="1" a="1"/>
  <c r="Q154" i="1" s="1"/>
  <c r="L154" i="1"/>
  <c r="R153" i="1"/>
  <c r="Q153" i="1" a="1"/>
  <c r="Q153" i="1" s="1"/>
  <c r="L153" i="1"/>
  <c r="R152" i="1"/>
  <c r="Q152" i="1" a="1"/>
  <c r="Q152" i="1" s="1"/>
  <c r="L152" i="1"/>
  <c r="R151" i="1"/>
  <c r="Q151" i="1" a="1"/>
  <c r="Q151" i="1" s="1"/>
  <c r="L151" i="1"/>
  <c r="R150" i="1"/>
  <c r="Q150" i="1" a="1"/>
  <c r="Q150" i="1" s="1"/>
  <c r="L150" i="1"/>
  <c r="R149" i="1"/>
  <c r="Q149" i="1" a="1"/>
  <c r="Q149" i="1" s="1"/>
  <c r="L149" i="1"/>
  <c r="R148" i="1"/>
  <c r="Q148" i="1" a="1"/>
  <c r="Q148" i="1" s="1"/>
  <c r="L148" i="1"/>
  <c r="R147" i="1"/>
  <c r="Q147" i="1" a="1"/>
  <c r="Q147" i="1" s="1"/>
  <c r="L147" i="1"/>
  <c r="R146" i="1"/>
  <c r="Q146" i="1" a="1"/>
  <c r="Q146" i="1" s="1"/>
  <c r="L146" i="1"/>
  <c r="R145" i="1"/>
  <c r="Q145" i="1" a="1"/>
  <c r="Q145" i="1" s="1"/>
  <c r="L145" i="1"/>
  <c r="R144" i="1"/>
  <c r="Q144" i="1" a="1"/>
  <c r="Q144" i="1" s="1"/>
  <c r="L144" i="1"/>
  <c r="R143" i="1"/>
  <c r="Q143" i="1" a="1"/>
  <c r="Q143" i="1" s="1"/>
  <c r="L143" i="1"/>
  <c r="R142" i="1"/>
  <c r="Q142" i="1" a="1"/>
  <c r="Q142" i="1" s="1"/>
  <c r="L142" i="1"/>
  <c r="R141" i="1"/>
  <c r="Q141" i="1" a="1"/>
  <c r="Q141" i="1" s="1"/>
  <c r="L141" i="1"/>
  <c r="R140" i="1"/>
  <c r="Q140" i="1" a="1"/>
  <c r="Q140" i="1" s="1"/>
  <c r="L140" i="1"/>
  <c r="R139" i="1"/>
  <c r="Q139" i="1" a="1"/>
  <c r="Q139" i="1" s="1"/>
  <c r="L139" i="1"/>
  <c r="R138" i="1"/>
  <c r="Q138" i="1" a="1"/>
  <c r="Q138" i="1" s="1"/>
  <c r="L138" i="1"/>
  <c r="R137" i="1"/>
  <c r="Q137" i="1" a="1"/>
  <c r="Q137" i="1" s="1"/>
  <c r="L137" i="1"/>
  <c r="R136" i="1"/>
  <c r="Q136" i="1" a="1"/>
  <c r="Q136" i="1" s="1"/>
  <c r="L136" i="1"/>
  <c r="R135" i="1"/>
  <c r="Q135" i="1" a="1"/>
  <c r="Q135" i="1" s="1"/>
  <c r="L135" i="1"/>
  <c r="R134" i="1"/>
  <c r="Q134" i="1" a="1"/>
  <c r="Q134" i="1" s="1"/>
  <c r="L134" i="1"/>
  <c r="R133" i="1"/>
  <c r="Q133" i="1" a="1"/>
  <c r="Q133" i="1" s="1"/>
  <c r="L133" i="1"/>
  <c r="R132" i="1"/>
  <c r="Q132" i="1" a="1"/>
  <c r="Q132" i="1" s="1"/>
  <c r="L132" i="1"/>
  <c r="R131" i="1"/>
  <c r="Q131" i="1" a="1"/>
  <c r="Q131" i="1" s="1"/>
  <c r="L131" i="1"/>
  <c r="R130" i="1"/>
  <c r="Q130" i="1" a="1"/>
  <c r="Q130" i="1" s="1"/>
  <c r="L130" i="1"/>
  <c r="R129" i="1"/>
  <c r="Q129" i="1" a="1"/>
  <c r="Q129" i="1" s="1"/>
  <c r="L129" i="1"/>
  <c r="R128" i="1"/>
  <c r="Q128" i="1" a="1"/>
  <c r="Q128" i="1" s="1"/>
  <c r="L128" i="1"/>
  <c r="R127" i="1"/>
  <c r="Q127" i="1" a="1"/>
  <c r="Q127" i="1" s="1"/>
  <c r="L127" i="1"/>
  <c r="R126" i="1"/>
  <c r="Q126" i="1" a="1"/>
  <c r="Q126" i="1" s="1"/>
  <c r="L126" i="1"/>
  <c r="R125" i="1"/>
  <c r="Q125" i="1" a="1"/>
  <c r="Q125" i="1" s="1"/>
  <c r="L125" i="1"/>
  <c r="R124" i="1"/>
  <c r="Q124" i="1" a="1"/>
  <c r="Q124" i="1" s="1"/>
  <c r="L124" i="1"/>
  <c r="R123" i="1"/>
  <c r="Q123" i="1" a="1"/>
  <c r="Q123" i="1" s="1"/>
  <c r="L123" i="1"/>
  <c r="R122" i="1"/>
  <c r="Q122" i="1" a="1"/>
  <c r="Q122" i="1" s="1"/>
  <c r="L122" i="1"/>
  <c r="R121" i="1"/>
  <c r="Q121" i="1" a="1"/>
  <c r="Q121" i="1" s="1"/>
  <c r="L121" i="1"/>
  <c r="R120" i="1"/>
  <c r="Q120" i="1" a="1"/>
  <c r="Q120" i="1" s="1"/>
  <c r="L120" i="1"/>
  <c r="R119" i="1"/>
  <c r="Q119" i="1" a="1"/>
  <c r="Q119" i="1" s="1"/>
  <c r="L119" i="1"/>
  <c r="R118" i="1"/>
  <c r="Q118" i="1" a="1"/>
  <c r="Q118" i="1" s="1"/>
  <c r="L118" i="1"/>
  <c r="R117" i="1"/>
  <c r="Q117" i="1" a="1"/>
  <c r="Q117" i="1" s="1"/>
  <c r="L117" i="1"/>
  <c r="R116" i="1"/>
  <c r="Q116" i="1" a="1"/>
  <c r="Q116" i="1" s="1"/>
  <c r="L116" i="1"/>
  <c r="R115" i="1"/>
  <c r="Q115" i="1" a="1"/>
  <c r="Q115" i="1" s="1"/>
  <c r="L115" i="1"/>
  <c r="R114" i="1"/>
  <c r="Q114" i="1" a="1"/>
  <c r="Q114" i="1" s="1"/>
  <c r="L114" i="1"/>
  <c r="R113" i="1"/>
  <c r="Q113" i="1" a="1"/>
  <c r="Q113" i="1" s="1"/>
  <c r="L113" i="1"/>
  <c r="R112" i="1"/>
  <c r="Q112" i="1" a="1"/>
  <c r="Q112" i="1" s="1"/>
  <c r="L112" i="1"/>
  <c r="R111" i="1"/>
  <c r="Q111" i="1" a="1"/>
  <c r="Q111" i="1" s="1"/>
  <c r="L111" i="1"/>
  <c r="R110" i="1"/>
  <c r="Q110" i="1" a="1"/>
  <c r="Q110" i="1" s="1"/>
  <c r="L110" i="1"/>
  <c r="R109" i="1"/>
  <c r="Q109" i="1" a="1"/>
  <c r="Q109" i="1" s="1"/>
  <c r="L109" i="1"/>
  <c r="R108" i="1"/>
  <c r="Q108" i="1"/>
  <c r="Q108" i="1" a="1"/>
  <c r="L108" i="1"/>
  <c r="R107" i="1"/>
  <c r="Q107" i="1" a="1"/>
  <c r="Q107" i="1" s="1"/>
  <c r="L107" i="1"/>
  <c r="R106" i="1"/>
  <c r="Q106" i="1" a="1"/>
  <c r="Q106" i="1" s="1"/>
  <c r="L106" i="1"/>
  <c r="R105" i="1"/>
  <c r="Q105" i="1" a="1"/>
  <c r="Q105" i="1" s="1"/>
  <c r="L105" i="1"/>
  <c r="R104" i="1"/>
  <c r="Q104" i="1" a="1"/>
  <c r="Q104" i="1" s="1"/>
  <c r="L104" i="1"/>
  <c r="R103" i="1"/>
  <c r="Q103" i="1" a="1"/>
  <c r="Q103" i="1" s="1"/>
  <c r="L103" i="1"/>
  <c r="R102" i="1"/>
  <c r="Q102" i="1" a="1"/>
  <c r="Q102" i="1" s="1"/>
  <c r="L102" i="1"/>
  <c r="R101" i="1"/>
  <c r="Q101" i="1" a="1"/>
  <c r="Q101" i="1" s="1"/>
  <c r="L101" i="1"/>
  <c r="R100" i="1"/>
  <c r="Q100" i="1" a="1"/>
  <c r="Q100" i="1" s="1"/>
  <c r="L100" i="1"/>
  <c r="R99" i="1"/>
  <c r="Q99" i="1" a="1"/>
  <c r="Q99" i="1" s="1"/>
  <c r="L99" i="1"/>
  <c r="R98" i="1"/>
  <c r="Q98" i="1" a="1"/>
  <c r="Q98" i="1" s="1"/>
  <c r="L98" i="1"/>
  <c r="R97" i="1"/>
  <c r="Q97" i="1" a="1"/>
  <c r="Q97" i="1" s="1"/>
  <c r="L97" i="1"/>
  <c r="R96" i="1"/>
  <c r="Q96" i="1" a="1"/>
  <c r="Q96" i="1" s="1"/>
  <c r="L96" i="1"/>
  <c r="R95" i="1"/>
  <c r="Q95" i="1" a="1"/>
  <c r="Q95" i="1" s="1"/>
  <c r="L95" i="1"/>
  <c r="R94" i="1"/>
  <c r="Q94" i="1" a="1"/>
  <c r="Q94" i="1" s="1"/>
  <c r="L94" i="1"/>
  <c r="R93" i="1"/>
  <c r="Q93" i="1" a="1"/>
  <c r="Q93" i="1" s="1"/>
  <c r="L93" i="1"/>
  <c r="R92" i="1"/>
  <c r="Q92" i="1" a="1"/>
  <c r="Q92" i="1" s="1"/>
  <c r="L92" i="1"/>
  <c r="R91" i="1"/>
  <c r="Q91" i="1" a="1"/>
  <c r="Q91" i="1" s="1"/>
  <c r="L91" i="1"/>
  <c r="R90" i="1"/>
  <c r="Q90" i="1" a="1"/>
  <c r="Q90" i="1" s="1"/>
  <c r="L90" i="1"/>
  <c r="R89" i="1"/>
  <c r="Q89" i="1" a="1"/>
  <c r="Q89" i="1" s="1"/>
  <c r="L89" i="1"/>
  <c r="R88" i="1"/>
  <c r="Q88" i="1" a="1"/>
  <c r="Q88" i="1" s="1"/>
  <c r="L88" i="1"/>
  <c r="R87" i="1"/>
  <c r="Q87" i="1" a="1"/>
  <c r="Q87" i="1" s="1"/>
  <c r="L87" i="1"/>
  <c r="R86" i="1"/>
  <c r="Q86" i="1" a="1"/>
  <c r="Q86" i="1" s="1"/>
  <c r="L86" i="1"/>
  <c r="R85" i="1"/>
  <c r="Q85" i="1" a="1"/>
  <c r="Q85" i="1" s="1"/>
  <c r="L85" i="1"/>
  <c r="R84" i="1"/>
  <c r="Q84" i="1" a="1"/>
  <c r="Q84" i="1" s="1"/>
  <c r="L84" i="1"/>
  <c r="R83" i="1"/>
  <c r="Q83" i="1" a="1"/>
  <c r="Q83" i="1" s="1"/>
  <c r="L83" i="1"/>
  <c r="R82" i="1"/>
  <c r="Q82" i="1" a="1"/>
  <c r="Q82" i="1" s="1"/>
  <c r="L82" i="1"/>
  <c r="R81" i="1"/>
  <c r="Q81" i="1" a="1"/>
  <c r="Q81" i="1" s="1"/>
  <c r="L81" i="1"/>
  <c r="R80" i="1"/>
  <c r="Q80" i="1" a="1"/>
  <c r="Q80" i="1" s="1"/>
  <c r="L80" i="1"/>
  <c r="R79" i="1"/>
  <c r="Q79" i="1" a="1"/>
  <c r="Q79" i="1" s="1"/>
  <c r="L79" i="1"/>
  <c r="R78" i="1"/>
  <c r="Q78" i="1" a="1"/>
  <c r="Q78" i="1" s="1"/>
  <c r="L78" i="1"/>
  <c r="R77" i="1"/>
  <c r="Q77" i="1" a="1"/>
  <c r="Q77" i="1" s="1"/>
  <c r="L77" i="1"/>
  <c r="R76" i="1"/>
  <c r="Q76" i="1" a="1"/>
  <c r="Q76" i="1" s="1"/>
  <c r="L76" i="1"/>
  <c r="R75" i="1"/>
  <c r="Q75" i="1" a="1"/>
  <c r="Q75" i="1" s="1"/>
  <c r="L75" i="1"/>
  <c r="R74" i="1"/>
  <c r="Q74" i="1" a="1"/>
  <c r="Q74" i="1" s="1"/>
  <c r="L74" i="1"/>
  <c r="R73" i="1"/>
  <c r="Q73" i="1" a="1"/>
  <c r="Q73" i="1" s="1"/>
  <c r="L73" i="1"/>
  <c r="R72" i="1"/>
  <c r="Q72" i="1" a="1"/>
  <c r="Q72" i="1" s="1"/>
  <c r="L72" i="1"/>
  <c r="R71" i="1"/>
  <c r="Q71" i="1" a="1"/>
  <c r="Q71" i="1" s="1"/>
  <c r="L71" i="1"/>
  <c r="R70" i="1"/>
  <c r="Q70" i="1" a="1"/>
  <c r="Q70" i="1" s="1"/>
  <c r="L70" i="1"/>
  <c r="R69" i="1"/>
  <c r="Q69" i="1" a="1"/>
  <c r="Q69" i="1" s="1"/>
  <c r="L69" i="1"/>
  <c r="R68" i="1"/>
  <c r="Q68" i="1" a="1"/>
  <c r="Q68" i="1" s="1"/>
  <c r="L68" i="1"/>
  <c r="R67" i="1"/>
  <c r="Q67" i="1" a="1"/>
  <c r="Q67" i="1" s="1"/>
  <c r="L67" i="1"/>
  <c r="R66" i="1"/>
  <c r="Q66" i="1" a="1"/>
  <c r="Q66" i="1" s="1"/>
  <c r="L66" i="1"/>
  <c r="R65" i="1"/>
  <c r="Q65" i="1" a="1"/>
  <c r="Q65" i="1" s="1"/>
  <c r="L65" i="1"/>
  <c r="R64" i="1"/>
  <c r="Q64" i="1" a="1"/>
  <c r="Q64" i="1" s="1"/>
  <c r="L64" i="1"/>
  <c r="R63" i="1"/>
  <c r="Q63" i="1" a="1"/>
  <c r="Q63" i="1" s="1"/>
  <c r="L63" i="1"/>
  <c r="R62" i="1"/>
  <c r="Q62" i="1" a="1"/>
  <c r="Q62" i="1" s="1"/>
  <c r="L62" i="1"/>
  <c r="R61" i="1"/>
  <c r="Q61" i="1" a="1"/>
  <c r="Q61" i="1" s="1"/>
  <c r="L61" i="1"/>
  <c r="R60" i="1"/>
  <c r="Q60" i="1" a="1"/>
  <c r="Q60" i="1" s="1"/>
  <c r="L60" i="1"/>
  <c r="R59" i="1"/>
  <c r="Q59" i="1" a="1"/>
  <c r="Q59" i="1" s="1"/>
  <c r="L59" i="1"/>
  <c r="R58" i="1"/>
  <c r="Q58" i="1" a="1"/>
  <c r="Q58" i="1" s="1"/>
  <c r="L58" i="1"/>
  <c r="R57" i="1"/>
  <c r="Q57" i="1" a="1"/>
  <c r="Q57" i="1" s="1"/>
  <c r="L57" i="1"/>
  <c r="R56" i="1"/>
  <c r="Q56" i="1" a="1"/>
  <c r="Q56" i="1" s="1"/>
  <c r="L56" i="1"/>
  <c r="R55" i="1"/>
  <c r="Q55" i="1" a="1"/>
  <c r="Q55" i="1" s="1"/>
  <c r="L55" i="1"/>
  <c r="R54" i="1"/>
  <c r="Q54" i="1" a="1"/>
  <c r="Q54" i="1" s="1"/>
  <c r="L54" i="1"/>
  <c r="R53" i="1"/>
  <c r="Q53" i="1" a="1"/>
  <c r="Q53" i="1" s="1"/>
  <c r="L53" i="1"/>
  <c r="R52" i="1"/>
  <c r="Q52" i="1" a="1"/>
  <c r="Q52" i="1" s="1"/>
  <c r="L52" i="1"/>
  <c r="R51" i="1"/>
  <c r="Q51" i="1" a="1"/>
  <c r="Q51" i="1" s="1"/>
  <c r="L51" i="1"/>
  <c r="R50" i="1"/>
  <c r="Q50" i="1" a="1"/>
  <c r="Q50" i="1" s="1"/>
  <c r="L50" i="1"/>
  <c r="R49" i="1"/>
  <c r="Q49" i="1" a="1"/>
  <c r="Q49" i="1" s="1"/>
  <c r="L49" i="1"/>
  <c r="R48" i="1"/>
  <c r="Q48" i="1" a="1"/>
  <c r="Q48" i="1" s="1"/>
  <c r="L48" i="1"/>
  <c r="R47" i="1"/>
  <c r="Q47" i="1" a="1"/>
  <c r="Q47" i="1" s="1"/>
  <c r="L47" i="1"/>
  <c r="R46" i="1"/>
  <c r="Q46" i="1" a="1"/>
  <c r="Q46" i="1" s="1"/>
  <c r="L46" i="1"/>
  <c r="R45" i="1"/>
  <c r="Q45" i="1" a="1"/>
  <c r="Q45" i="1" s="1"/>
  <c r="L45" i="1"/>
  <c r="R44" i="1"/>
  <c r="Q44" i="1"/>
  <c r="Q44" i="1" a="1"/>
  <c r="L44" i="1"/>
  <c r="R43" i="1"/>
  <c r="Q43" i="1" a="1"/>
  <c r="Q43" i="1" s="1"/>
  <c r="L43" i="1"/>
  <c r="R42" i="1"/>
  <c r="Q42" i="1" a="1"/>
  <c r="Q42" i="1" s="1"/>
  <c r="L42" i="1"/>
  <c r="R41" i="1"/>
  <c r="Q41" i="1" a="1"/>
  <c r="Q41" i="1" s="1"/>
  <c r="L41" i="1"/>
  <c r="R40" i="1"/>
  <c r="Q40" i="1" a="1"/>
  <c r="Q40" i="1" s="1"/>
  <c r="L40" i="1"/>
  <c r="R39" i="1"/>
  <c r="Q39" i="1" a="1"/>
  <c r="Q39" i="1" s="1"/>
  <c r="L39" i="1"/>
  <c r="R38" i="1"/>
  <c r="Q38" i="1" a="1"/>
  <c r="Q38" i="1" s="1"/>
  <c r="L38" i="1"/>
  <c r="R37" i="1"/>
  <c r="Q37" i="1" a="1"/>
  <c r="Q37" i="1" s="1"/>
  <c r="L37" i="1"/>
  <c r="R36" i="1"/>
  <c r="Q36" i="1" a="1"/>
  <c r="Q36" i="1" s="1"/>
  <c r="L36" i="1"/>
  <c r="R35" i="1"/>
  <c r="Q35" i="1" a="1"/>
  <c r="Q35" i="1" s="1"/>
  <c r="L35" i="1"/>
  <c r="R34" i="1"/>
  <c r="Q34" i="1" a="1"/>
  <c r="Q34" i="1" s="1"/>
  <c r="L34" i="1"/>
  <c r="R33" i="1"/>
  <c r="Q33" i="1" a="1"/>
  <c r="Q33" i="1" s="1"/>
  <c r="L33" i="1"/>
  <c r="R32" i="1"/>
  <c r="Q32" i="1" a="1"/>
  <c r="Q32" i="1" s="1"/>
  <c r="L32" i="1"/>
  <c r="R31" i="1"/>
  <c r="Q31" i="1" a="1"/>
  <c r="Q31" i="1" s="1"/>
  <c r="L31" i="1"/>
  <c r="R30" i="1"/>
  <c r="Q30" i="1" a="1"/>
  <c r="Q30" i="1" s="1"/>
  <c r="L30" i="1"/>
  <c r="R29" i="1"/>
  <c r="Q29" i="1" a="1"/>
  <c r="Q29" i="1" s="1"/>
  <c r="L29" i="1"/>
  <c r="R28" i="1"/>
  <c r="Q28" i="1" a="1"/>
  <c r="Q28" i="1" s="1"/>
  <c r="L28" i="1"/>
  <c r="R27" i="1"/>
  <c r="Q27" i="1" a="1"/>
  <c r="Q27" i="1" s="1"/>
  <c r="L27" i="1"/>
  <c r="R26" i="1"/>
  <c r="Q26" i="1" a="1"/>
  <c r="Q26" i="1" s="1"/>
  <c r="L26" i="1"/>
  <c r="R25" i="1"/>
  <c r="Q25" i="1" a="1"/>
  <c r="Q25" i="1" s="1"/>
  <c r="L25" i="1"/>
  <c r="R24" i="1"/>
  <c r="Q24" i="1" a="1"/>
  <c r="Q24" i="1" s="1"/>
  <c r="L24" i="1"/>
  <c r="R23" i="1"/>
  <c r="Q23" i="1" a="1"/>
  <c r="Q23" i="1" s="1"/>
  <c r="L23" i="1"/>
  <c r="R22" i="1"/>
  <c r="Q22" i="1" a="1"/>
  <c r="Q22" i="1" s="1"/>
  <c r="L22" i="1"/>
  <c r="R21" i="1"/>
  <c r="Q21" i="1" a="1"/>
  <c r="Q21" i="1" s="1"/>
  <c r="L21" i="1"/>
  <c r="R20" i="1"/>
  <c r="Q20" i="1" a="1"/>
  <c r="Q20" i="1" s="1"/>
  <c r="L20" i="1"/>
  <c r="R19" i="1"/>
  <c r="Q19" i="1" a="1"/>
  <c r="Q19" i="1" s="1"/>
  <c r="L19" i="1"/>
  <c r="R18" i="1"/>
  <c r="Q18" i="1" a="1"/>
  <c r="Q18" i="1" s="1"/>
  <c r="L18" i="1"/>
  <c r="R17" i="1"/>
  <c r="Q17" i="1" a="1"/>
  <c r="Q17" i="1" s="1"/>
  <c r="L17" i="1"/>
  <c r="R16" i="1"/>
  <c r="Q16" i="1" a="1"/>
  <c r="Q16" i="1" s="1"/>
  <c r="L16" i="1"/>
  <c r="R15" i="1"/>
  <c r="Q15" i="1" a="1"/>
  <c r="Q15" i="1" s="1"/>
  <c r="L15" i="1"/>
  <c r="R14" i="1"/>
  <c r="Q14" i="1" a="1"/>
  <c r="Q14" i="1" s="1"/>
  <c r="L14" i="1"/>
  <c r="R13" i="1"/>
  <c r="Q13" i="1" a="1"/>
  <c r="Q13" i="1" s="1"/>
  <c r="L13" i="1"/>
  <c r="R12" i="1"/>
  <c r="Q12" i="1" a="1"/>
  <c r="Q12" i="1" s="1"/>
  <c r="L12" i="1"/>
  <c r="R11" i="1"/>
  <c r="Q11" i="1" a="1"/>
  <c r="Q11" i="1" s="1"/>
  <c r="L11" i="1"/>
  <c r="R10" i="1"/>
  <c r="Q10" i="1" a="1"/>
  <c r="Q10" i="1" s="1"/>
  <c r="L10" i="1"/>
  <c r="R9" i="1"/>
  <c r="Q9" i="1" a="1"/>
  <c r="Q9" i="1" s="1"/>
  <c r="L9" i="1"/>
  <c r="R8" i="1"/>
  <c r="Q8" i="1" a="1"/>
  <c r="Q8" i="1" s="1"/>
  <c r="L8" i="1"/>
  <c r="R7" i="1"/>
  <c r="Q7" i="1" a="1"/>
  <c r="Q7" i="1" s="1"/>
  <c r="L7" i="1"/>
  <c r="R6" i="1"/>
  <c r="Q6" i="1" a="1"/>
  <c r="Q6" i="1" s="1"/>
  <c r="L6" i="1"/>
  <c r="R5" i="1"/>
  <c r="Q5" i="1"/>
  <c r="Q5" i="1" a="1"/>
  <c r="L5" i="1"/>
  <c r="R4" i="1"/>
  <c r="Q4" i="1" a="1"/>
  <c r="Q4" i="1" s="1"/>
  <c r="L4" i="1"/>
  <c r="R3" i="1"/>
  <c r="Q3" i="1" a="1"/>
  <c r="Q3" i="1" s="1"/>
  <c r="L3" i="1"/>
  <c r="R2" i="1"/>
  <c r="Q2" i="1" a="1"/>
  <c r="Q2" i="1" s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<sst xmlns="http://schemas.openxmlformats.org/spreadsheetml/2006/main" count="2234" uniqueCount="1188">
  <si>
    <t>Male</t>
  </si>
  <si>
    <t>Asuom</t>
  </si>
  <si>
    <t>Normal</t>
  </si>
  <si>
    <t>002</t>
  </si>
  <si>
    <t>Kwabena Nyame</t>
  </si>
  <si>
    <t>Kofi Obeng</t>
  </si>
  <si>
    <t>Abaam</t>
  </si>
  <si>
    <t>00000002</t>
  </si>
  <si>
    <t>003</t>
  </si>
  <si>
    <t>Joseph Awuah Gyimah</t>
  </si>
  <si>
    <t>Kwabena Antwi</t>
  </si>
  <si>
    <t>Tweapease</t>
  </si>
  <si>
    <t>00000003</t>
  </si>
  <si>
    <t>00000012</t>
  </si>
  <si>
    <t>004</t>
  </si>
  <si>
    <t>Akos Aboagyewaa</t>
  </si>
  <si>
    <t>Female</t>
  </si>
  <si>
    <t>Awal Clement</t>
  </si>
  <si>
    <t>Bomso</t>
  </si>
  <si>
    <t>00000004</t>
  </si>
  <si>
    <t>00000005</t>
  </si>
  <si>
    <t>005</t>
  </si>
  <si>
    <t>Kwame</t>
  </si>
  <si>
    <t>Ohene Ofori</t>
  </si>
  <si>
    <t>006</t>
  </si>
  <si>
    <t>Emmanuel Osei</t>
  </si>
  <si>
    <t>Agbeko</t>
  </si>
  <si>
    <t>00000006</t>
  </si>
  <si>
    <t>00000014</t>
  </si>
  <si>
    <t>007</t>
  </si>
  <si>
    <t>Kwabena Asiamah</t>
  </si>
  <si>
    <t>Yaw Frimpong</t>
  </si>
  <si>
    <t>00000007</t>
  </si>
  <si>
    <t>00000024</t>
  </si>
  <si>
    <t>008</t>
  </si>
  <si>
    <t>Dorothy Koranteng</t>
  </si>
  <si>
    <t>Kwabena Marfo</t>
  </si>
  <si>
    <t>00000008</t>
  </si>
  <si>
    <t>009</t>
  </si>
  <si>
    <t xml:space="preserve">Nicholas Appiah </t>
  </si>
  <si>
    <t>Kwame Asomaning</t>
  </si>
  <si>
    <t>00000009</t>
  </si>
  <si>
    <t>00000039</t>
  </si>
  <si>
    <t>010</t>
  </si>
  <si>
    <t>Frimpong Manso</t>
  </si>
  <si>
    <t>Kwame Frimpong</t>
  </si>
  <si>
    <t>00000010</t>
  </si>
  <si>
    <t>00000019</t>
  </si>
  <si>
    <t>011</t>
  </si>
  <si>
    <t>Ama Asiedua</t>
  </si>
  <si>
    <t>Kwadwo Yeboah</t>
  </si>
  <si>
    <t>00000011</t>
  </si>
  <si>
    <t>00000059</t>
  </si>
  <si>
    <t>012</t>
  </si>
  <si>
    <t>Elizabeth Anane</t>
  </si>
  <si>
    <t>Mrs. Mary</t>
  </si>
  <si>
    <t>00000086</t>
  </si>
  <si>
    <t>013</t>
  </si>
  <si>
    <t>Alex Yeboah</t>
  </si>
  <si>
    <t>Kwabena Owusu</t>
  </si>
  <si>
    <t>00000013</t>
  </si>
  <si>
    <t>014</t>
  </si>
  <si>
    <t>Teye Louis</t>
  </si>
  <si>
    <t>Larbi John</t>
  </si>
  <si>
    <t>Atobiriso</t>
  </si>
  <si>
    <t>00000018</t>
  </si>
  <si>
    <t>015</t>
  </si>
  <si>
    <t>Kwaku Aboagye</t>
  </si>
  <si>
    <t>Mr. Patrick</t>
  </si>
  <si>
    <t>00000015</t>
  </si>
  <si>
    <t>00000061</t>
  </si>
  <si>
    <t>016</t>
  </si>
  <si>
    <t>Evans Kyei</t>
  </si>
  <si>
    <t>Asante Samuel</t>
  </si>
  <si>
    <t>00000016</t>
  </si>
  <si>
    <t>00000017</t>
  </si>
  <si>
    <t>017</t>
  </si>
  <si>
    <t>Eric Obeng</t>
  </si>
  <si>
    <t>Mr. Boadu</t>
  </si>
  <si>
    <t>018</t>
  </si>
  <si>
    <t>Kojo Sarfo</t>
  </si>
  <si>
    <t>Yaw Poku</t>
  </si>
  <si>
    <t>019</t>
  </si>
  <si>
    <t>Mary Tikromah</t>
  </si>
  <si>
    <t>Fobi Jones</t>
  </si>
  <si>
    <t>00000087</t>
  </si>
  <si>
    <t>020</t>
  </si>
  <si>
    <t>Kwasi Fenting</t>
  </si>
  <si>
    <t>Thomas Peprah</t>
  </si>
  <si>
    <t>00000020</t>
  </si>
  <si>
    <t>00000155</t>
  </si>
  <si>
    <t>021</t>
  </si>
  <si>
    <t>Vida Adomaa Yaa</t>
  </si>
  <si>
    <t>Nti Amoako</t>
  </si>
  <si>
    <t>00000021</t>
  </si>
  <si>
    <t>022</t>
  </si>
  <si>
    <t>Ohene Asiedu</t>
  </si>
  <si>
    <t>Mr. Kofi</t>
  </si>
  <si>
    <t>00000022</t>
  </si>
  <si>
    <t>023</t>
  </si>
  <si>
    <t>Samuel Dankyei</t>
  </si>
  <si>
    <t>Oduro Kwame</t>
  </si>
  <si>
    <t>00000023</t>
  </si>
  <si>
    <t>024</t>
  </si>
  <si>
    <t>Margaret Abena</t>
  </si>
  <si>
    <t>Adam Jones</t>
  </si>
  <si>
    <t>025</t>
  </si>
  <si>
    <t>Kwasi Anane</t>
  </si>
  <si>
    <t>Stephen Amaning</t>
  </si>
  <si>
    <t>00000025</t>
  </si>
  <si>
    <t>026</t>
  </si>
  <si>
    <t>Samuel Antwi</t>
  </si>
  <si>
    <t>King Asiedu</t>
  </si>
  <si>
    <t>00000026</t>
  </si>
  <si>
    <t>027</t>
  </si>
  <si>
    <t>Grace Dzaka</t>
  </si>
  <si>
    <t>Yaw Dzaka</t>
  </si>
  <si>
    <t>00000027</t>
  </si>
  <si>
    <t>028</t>
  </si>
  <si>
    <t>Kwaku Twum</t>
  </si>
  <si>
    <t>Kwabena Darkwah</t>
  </si>
  <si>
    <t>00000028</t>
  </si>
  <si>
    <t>029</t>
  </si>
  <si>
    <t>Raphael Tettey</t>
  </si>
  <si>
    <t>Mr. Nartey</t>
  </si>
  <si>
    <t>Akenkase</t>
  </si>
  <si>
    <t>00000029</t>
  </si>
  <si>
    <t>030</t>
  </si>
  <si>
    <t>Akosua Manu</t>
  </si>
  <si>
    <t>Mr. Kwame</t>
  </si>
  <si>
    <t>00000030</t>
  </si>
  <si>
    <t>00000038</t>
  </si>
  <si>
    <t>031</t>
  </si>
  <si>
    <t>Kwame Appiah</t>
  </si>
  <si>
    <t>Kwame Okyere</t>
  </si>
  <si>
    <t>Akyemkroso</t>
  </si>
  <si>
    <t>00000031</t>
  </si>
  <si>
    <t>032</t>
  </si>
  <si>
    <t>Mercy Gyaubea</t>
  </si>
  <si>
    <t>Ebenezer Larbi</t>
  </si>
  <si>
    <t>00000032</t>
  </si>
  <si>
    <t>00000065</t>
  </si>
  <si>
    <t>033</t>
  </si>
  <si>
    <t>Janet Amissah</t>
  </si>
  <si>
    <t>Mr. Alex</t>
  </si>
  <si>
    <t>VIP</t>
  </si>
  <si>
    <t>00000033</t>
  </si>
  <si>
    <t>00000084</t>
  </si>
  <si>
    <t>034</t>
  </si>
  <si>
    <t>Charlotte Addo</t>
  </si>
  <si>
    <t>Michael Addo</t>
  </si>
  <si>
    <t>00000034</t>
  </si>
  <si>
    <t>00000054</t>
  </si>
  <si>
    <t>035</t>
  </si>
  <si>
    <t>Affum Joseph</t>
  </si>
  <si>
    <t>J. K. Affum</t>
  </si>
  <si>
    <t>Subiriso</t>
  </si>
  <si>
    <t>00000035</t>
  </si>
  <si>
    <t>036</t>
  </si>
  <si>
    <t>Kwaku Osei</t>
  </si>
  <si>
    <t>Anokye Wilson</t>
  </si>
  <si>
    <t>00000036</t>
  </si>
  <si>
    <t>037</t>
  </si>
  <si>
    <t xml:space="preserve">Ofori Richard </t>
  </si>
  <si>
    <t>Jacob Danso</t>
  </si>
  <si>
    <t>00000037</t>
  </si>
  <si>
    <t>00000043</t>
  </si>
  <si>
    <t>038</t>
  </si>
  <si>
    <t>James Tetteh</t>
  </si>
  <si>
    <t>John Tetteh</t>
  </si>
  <si>
    <t>00000042</t>
  </si>
  <si>
    <t>039</t>
  </si>
  <si>
    <t>Akosua Oforiwaa</t>
  </si>
  <si>
    <t>Yaw Aniagyei</t>
  </si>
  <si>
    <t>00000062</t>
  </si>
  <si>
    <t>040</t>
  </si>
  <si>
    <t>Ransford Asiedu</t>
  </si>
  <si>
    <t>Mr. Jones</t>
  </si>
  <si>
    <t>00000040</t>
  </si>
  <si>
    <t>00000096</t>
  </si>
  <si>
    <t>041</t>
  </si>
  <si>
    <t>Kofi Okyere</t>
  </si>
  <si>
    <t>Bomsu Poku</t>
  </si>
  <si>
    <t>00000041</t>
  </si>
  <si>
    <t>00000055</t>
  </si>
  <si>
    <t>042</t>
  </si>
  <si>
    <t>Samuel Mintah</t>
  </si>
  <si>
    <t>Daniel Tetteh</t>
  </si>
  <si>
    <t>043</t>
  </si>
  <si>
    <t>Akwasi Tawiah</t>
  </si>
  <si>
    <t>Mr. Yaw</t>
  </si>
  <si>
    <t>00000090</t>
  </si>
  <si>
    <t>044</t>
  </si>
  <si>
    <t>Nti Aninkorah</t>
  </si>
  <si>
    <t>Paul Peprah</t>
  </si>
  <si>
    <t>00000044</t>
  </si>
  <si>
    <t>00000081</t>
  </si>
  <si>
    <t>045</t>
  </si>
  <si>
    <t>Kwao Juliana</t>
  </si>
  <si>
    <t>Kwao Branie</t>
  </si>
  <si>
    <t>Akawani</t>
  </si>
  <si>
    <t>00000045</t>
  </si>
  <si>
    <t>00000097</t>
  </si>
  <si>
    <t>046</t>
  </si>
  <si>
    <t>S. A. Adu</t>
  </si>
  <si>
    <t>Yaw Antwi</t>
  </si>
  <si>
    <t>00000046</t>
  </si>
  <si>
    <t>00000078</t>
  </si>
  <si>
    <t>047</t>
  </si>
  <si>
    <t>Rose Ayimaah</t>
  </si>
  <si>
    <t>Cecilia Ntiriwaa</t>
  </si>
  <si>
    <t>00000047</t>
  </si>
  <si>
    <t>048</t>
  </si>
  <si>
    <t>Comfort M. Treku</t>
  </si>
  <si>
    <t>Mr. Emmanuel</t>
  </si>
  <si>
    <t>00000048</t>
  </si>
  <si>
    <t>049</t>
  </si>
  <si>
    <t>Hayford Nyarko</t>
  </si>
  <si>
    <t>Eugene</t>
  </si>
  <si>
    <t>00000049</t>
  </si>
  <si>
    <t>00000064</t>
  </si>
  <si>
    <t>050</t>
  </si>
  <si>
    <t>Yaw Asiedu</t>
  </si>
  <si>
    <t>Bro Kwasi</t>
  </si>
  <si>
    <t>00000050</t>
  </si>
  <si>
    <t>051</t>
  </si>
  <si>
    <t>Gifty Apochie</t>
  </si>
  <si>
    <t>Ishmael Apochie</t>
  </si>
  <si>
    <t>00000051</t>
  </si>
  <si>
    <t>052</t>
  </si>
  <si>
    <t>Mercy Nyarkowaa</t>
  </si>
  <si>
    <t>Mr. Eric Adu</t>
  </si>
  <si>
    <t>00000052</t>
  </si>
  <si>
    <t>00000091</t>
  </si>
  <si>
    <t>053</t>
  </si>
  <si>
    <t>Janet Awal</t>
  </si>
  <si>
    <t>Nicholas Asare</t>
  </si>
  <si>
    <t>00000053</t>
  </si>
  <si>
    <t>054</t>
  </si>
  <si>
    <t>Kojo Brako</t>
  </si>
  <si>
    <t>Eric Adu</t>
  </si>
  <si>
    <t>00000068</t>
  </si>
  <si>
    <t>055</t>
  </si>
  <si>
    <t>Grace Ankamaah</t>
  </si>
  <si>
    <t>Godfred Ofosu</t>
  </si>
  <si>
    <t>056</t>
  </si>
  <si>
    <t>Afia Takyiwaa</t>
  </si>
  <si>
    <t>Mr. Tetteh</t>
  </si>
  <si>
    <t>00000056</t>
  </si>
  <si>
    <t>057</t>
  </si>
  <si>
    <t>Desmond D. George</t>
  </si>
  <si>
    <t>Mr. Thomas</t>
  </si>
  <si>
    <t>00000057</t>
  </si>
  <si>
    <t>058</t>
  </si>
  <si>
    <t>Paul Agyenim B.</t>
  </si>
  <si>
    <t>Agyapong Alexander</t>
  </si>
  <si>
    <t>00000058</t>
  </si>
  <si>
    <t>00000069</t>
  </si>
  <si>
    <t>059</t>
  </si>
  <si>
    <t>Yaw A.</t>
  </si>
  <si>
    <t>Mr. Owusu</t>
  </si>
  <si>
    <t>060</t>
  </si>
  <si>
    <t>Kwaku Samuel</t>
  </si>
  <si>
    <t>Isaac Tetteh</t>
  </si>
  <si>
    <t>00000060</t>
  </si>
  <si>
    <t>061</t>
  </si>
  <si>
    <t>Teye Amayo</t>
  </si>
  <si>
    <t>Mr. Quarshie</t>
  </si>
  <si>
    <t>062</t>
  </si>
  <si>
    <t>Patrick Ankomani</t>
  </si>
  <si>
    <t>063</t>
  </si>
  <si>
    <t>Augustina Anima</t>
  </si>
  <si>
    <t>Mr. Darkwa</t>
  </si>
  <si>
    <t>00000063</t>
  </si>
  <si>
    <t>00000077</t>
  </si>
  <si>
    <t>064</t>
  </si>
  <si>
    <t>Asimeng</t>
  </si>
  <si>
    <t>Oliver</t>
  </si>
  <si>
    <t>065</t>
  </si>
  <si>
    <t>Vida Kwakyewaa</t>
  </si>
  <si>
    <t>Mr. Frank</t>
  </si>
  <si>
    <t>00000066</t>
  </si>
  <si>
    <t>066</t>
  </si>
  <si>
    <t>Mary Antwiwaa</t>
  </si>
  <si>
    <t>Nana</t>
  </si>
  <si>
    <t>00000171</t>
  </si>
  <si>
    <t>067</t>
  </si>
  <si>
    <t>Vida Serwaa</t>
  </si>
  <si>
    <t>Mr. Ernest</t>
  </si>
  <si>
    <t>00000067</t>
  </si>
  <si>
    <t>068</t>
  </si>
  <si>
    <t>Christina Darkwaa</t>
  </si>
  <si>
    <t>Kwabena Nti</t>
  </si>
  <si>
    <t>00000157</t>
  </si>
  <si>
    <t>069</t>
  </si>
  <si>
    <t>Comfort  Amponsah</t>
  </si>
  <si>
    <t>00000099</t>
  </si>
  <si>
    <t>070</t>
  </si>
  <si>
    <t>Korkor Ernestina</t>
  </si>
  <si>
    <t>Nartey</t>
  </si>
  <si>
    <t>00000070</t>
  </si>
  <si>
    <t>00000085</t>
  </si>
  <si>
    <t>071</t>
  </si>
  <si>
    <t>Martha</t>
  </si>
  <si>
    <t>Mr. Yeboah</t>
  </si>
  <si>
    <t>00000071</t>
  </si>
  <si>
    <t>00000075</t>
  </si>
  <si>
    <t>072</t>
  </si>
  <si>
    <t>Atta Akwasi</t>
  </si>
  <si>
    <t>Kojo Ntiamoah</t>
  </si>
  <si>
    <t>00000072</t>
  </si>
  <si>
    <t>00000083</t>
  </si>
  <si>
    <t>073</t>
  </si>
  <si>
    <t>Kofi Mensah</t>
  </si>
  <si>
    <t>Mr. Duodu</t>
  </si>
  <si>
    <t>00000073</t>
  </si>
  <si>
    <t>074</t>
  </si>
  <si>
    <t>Kwabena Ayivi</t>
  </si>
  <si>
    <t>Mr. Atsu</t>
  </si>
  <si>
    <t>00000074</t>
  </si>
  <si>
    <t>075</t>
  </si>
  <si>
    <t>Michael Nimo</t>
  </si>
  <si>
    <t>Kwasi Nimo</t>
  </si>
  <si>
    <t>076</t>
  </si>
  <si>
    <t>Adwoa Beatrice</t>
  </si>
  <si>
    <t>Yaw Amoako</t>
  </si>
  <si>
    <t>00000076</t>
  </si>
  <si>
    <t>00000098</t>
  </si>
  <si>
    <t>077</t>
  </si>
  <si>
    <t>Akua</t>
  </si>
  <si>
    <t>Mr. Samuel</t>
  </si>
  <si>
    <t>00000079</t>
  </si>
  <si>
    <t>078</t>
  </si>
  <si>
    <t>Ama Nkansah</t>
  </si>
  <si>
    <t>Mr. Oppong</t>
  </si>
  <si>
    <t>079</t>
  </si>
  <si>
    <t>Kwaku Adu</t>
  </si>
  <si>
    <t>Yaw Agyei</t>
  </si>
  <si>
    <t>080</t>
  </si>
  <si>
    <t>Ebenezer Kojo</t>
  </si>
  <si>
    <t>Alex Boadu</t>
  </si>
  <si>
    <t>00000080</t>
  </si>
  <si>
    <t>00000104</t>
  </si>
  <si>
    <t>081</t>
  </si>
  <si>
    <t>Hannah Asabea</t>
  </si>
  <si>
    <t>Emmanuel</t>
  </si>
  <si>
    <t>00000169</t>
  </si>
  <si>
    <t>082</t>
  </si>
  <si>
    <t>Samson Kofi Mintah</t>
  </si>
  <si>
    <t>Mr. Eric Obuobi</t>
  </si>
  <si>
    <t>Nyantiase</t>
  </si>
  <si>
    <t>00000082</t>
  </si>
  <si>
    <t>00000156</t>
  </si>
  <si>
    <t>083</t>
  </si>
  <si>
    <t>Ampofo Twum</t>
  </si>
  <si>
    <t>084</t>
  </si>
  <si>
    <t>George Frimpong</t>
  </si>
  <si>
    <t>George Nyarko</t>
  </si>
  <si>
    <t>085</t>
  </si>
  <si>
    <t>Akosua Yeboah</t>
  </si>
  <si>
    <t>Mr. George</t>
  </si>
  <si>
    <t>086</t>
  </si>
  <si>
    <t>Yvette Asor</t>
  </si>
  <si>
    <t>William Dompreh</t>
  </si>
  <si>
    <t>00000089</t>
  </si>
  <si>
    <t>087</t>
  </si>
  <si>
    <t>William Mensah</t>
  </si>
  <si>
    <t>Mr. Attah</t>
  </si>
  <si>
    <t>00000172</t>
  </si>
  <si>
    <t>088</t>
  </si>
  <si>
    <t>Charles Odurakwa</t>
  </si>
  <si>
    <t>00000088</t>
  </si>
  <si>
    <t>089</t>
  </si>
  <si>
    <t>Alex Prah</t>
  </si>
  <si>
    <t>Mr. Agyei</t>
  </si>
  <si>
    <t>090</t>
  </si>
  <si>
    <t>Margaret Ofosua</t>
  </si>
  <si>
    <t>Ama Pokuaa</t>
  </si>
  <si>
    <t>091</t>
  </si>
  <si>
    <t>Faustina Sarfoaa</t>
  </si>
  <si>
    <t>Mr. Charles</t>
  </si>
  <si>
    <t>00000186</t>
  </si>
  <si>
    <t>092</t>
  </si>
  <si>
    <t>Stephen Kofi Boateng</t>
  </si>
  <si>
    <t>Mr. Adu</t>
  </si>
  <si>
    <t>00000092</t>
  </si>
  <si>
    <t>00000179</t>
  </si>
  <si>
    <t>093</t>
  </si>
  <si>
    <t>Anane Kwame</t>
  </si>
  <si>
    <t>Amponsah William</t>
  </si>
  <si>
    <t>00000093</t>
  </si>
  <si>
    <t>094</t>
  </si>
  <si>
    <t>Beatrice Agyeiwaa</t>
  </si>
  <si>
    <t>Samuel Asare</t>
  </si>
  <si>
    <t>00000094</t>
  </si>
  <si>
    <t>00000153</t>
  </si>
  <si>
    <t>095</t>
  </si>
  <si>
    <t>Kwabena Ntiamoah</t>
  </si>
  <si>
    <t>Mrs. Yaa</t>
  </si>
  <si>
    <t>00000095</t>
  </si>
  <si>
    <t>00000151</t>
  </si>
  <si>
    <t>096</t>
  </si>
  <si>
    <t>Mama Gladys</t>
  </si>
  <si>
    <t>Mr. Kwasi Peprah</t>
  </si>
  <si>
    <t>097</t>
  </si>
  <si>
    <t>Regina Odurowaa</t>
  </si>
  <si>
    <t>Mr. Kwaku</t>
  </si>
  <si>
    <t>098</t>
  </si>
  <si>
    <t>Christina Antwi</t>
  </si>
  <si>
    <t>Gladys Osei</t>
  </si>
  <si>
    <t>00000218</t>
  </si>
  <si>
    <t>099</t>
  </si>
  <si>
    <t>100</t>
  </si>
  <si>
    <t>Akosua Otiwaa</t>
  </si>
  <si>
    <t>Oppong George</t>
  </si>
  <si>
    <t>00000100</t>
  </si>
  <si>
    <t>101</t>
  </si>
  <si>
    <t xml:space="preserve">Dora </t>
  </si>
  <si>
    <t>Kwabena</t>
  </si>
  <si>
    <t>00000101</t>
  </si>
  <si>
    <t>102</t>
  </si>
  <si>
    <t>Antwi Darkwah</t>
  </si>
  <si>
    <t xml:space="preserve">Oduro </t>
  </si>
  <si>
    <t>00000102</t>
  </si>
  <si>
    <t>00000246</t>
  </si>
  <si>
    <t>103</t>
  </si>
  <si>
    <t>Ernestina Sarpeh</t>
  </si>
  <si>
    <t>Williams</t>
  </si>
  <si>
    <t>00000103</t>
  </si>
  <si>
    <t>104</t>
  </si>
  <si>
    <t>Victor Gameh</t>
  </si>
  <si>
    <t>Mr. Tettey</t>
  </si>
  <si>
    <t>00000182</t>
  </si>
  <si>
    <t>105</t>
  </si>
  <si>
    <t>Yaa Love</t>
  </si>
  <si>
    <t>00000105</t>
  </si>
  <si>
    <t>106</t>
  </si>
  <si>
    <t>Yaw Twum</t>
  </si>
  <si>
    <t>Kwasi Obeng</t>
  </si>
  <si>
    <t>00000106</t>
  </si>
  <si>
    <t>00000168</t>
  </si>
  <si>
    <t>107</t>
  </si>
  <si>
    <t>Akyea Frimpong</t>
  </si>
  <si>
    <t>Seth Asiamah</t>
  </si>
  <si>
    <t>00000107</t>
  </si>
  <si>
    <t>00000162</t>
  </si>
  <si>
    <t>108</t>
  </si>
  <si>
    <t>Asare Antwi</t>
  </si>
  <si>
    <t>Reynolds Antwi</t>
  </si>
  <si>
    <t>Akwatia</t>
  </si>
  <si>
    <t>00000109</t>
  </si>
  <si>
    <t>109</t>
  </si>
  <si>
    <t>Ophelia Ama Dede</t>
  </si>
  <si>
    <t>Edward Appiah</t>
  </si>
  <si>
    <t>00000111</t>
  </si>
  <si>
    <t>00000187</t>
  </si>
  <si>
    <t>110</t>
  </si>
  <si>
    <t>Darko Dickson</t>
  </si>
  <si>
    <t>Asare Bediako</t>
  </si>
  <si>
    <t>00000113</t>
  </si>
  <si>
    <t>00000170</t>
  </si>
  <si>
    <t>111</t>
  </si>
  <si>
    <t>Grace Afrah</t>
  </si>
  <si>
    <t>Samson Yeboah</t>
  </si>
  <si>
    <t>00000114</t>
  </si>
  <si>
    <t>112</t>
  </si>
  <si>
    <t>Simon Kofi Odonkor</t>
  </si>
  <si>
    <t>Emmanuel Nartey</t>
  </si>
  <si>
    <t>00000115</t>
  </si>
  <si>
    <t>00000164</t>
  </si>
  <si>
    <t>113</t>
  </si>
  <si>
    <t>Afia Nana</t>
  </si>
  <si>
    <t>Philip Antwi</t>
  </si>
  <si>
    <t>00000116</t>
  </si>
  <si>
    <t>114</t>
  </si>
  <si>
    <t>Selina Donkor Ofosua</t>
  </si>
  <si>
    <t>Dickson Asante</t>
  </si>
  <si>
    <t>00000117</t>
  </si>
  <si>
    <t>00000222</t>
  </si>
  <si>
    <t>115</t>
  </si>
  <si>
    <t>Mary Nnisin</t>
  </si>
  <si>
    <t>Isaac Owusu</t>
  </si>
  <si>
    <t>Abenaso</t>
  </si>
  <si>
    <t>00000118</t>
  </si>
  <si>
    <t>00000190</t>
  </si>
  <si>
    <t>116</t>
  </si>
  <si>
    <t>Alice Abena Korkor</t>
  </si>
  <si>
    <t>Jonathan Attah</t>
  </si>
  <si>
    <t>00000119</t>
  </si>
  <si>
    <t>00000152</t>
  </si>
  <si>
    <t>117</t>
  </si>
  <si>
    <t>Grace Ampofowaa</t>
  </si>
  <si>
    <t>William Freeme</t>
  </si>
  <si>
    <t>00000120</t>
  </si>
  <si>
    <t>00000176</t>
  </si>
  <si>
    <t>118</t>
  </si>
  <si>
    <t>Janet Adwapa</t>
  </si>
  <si>
    <t>Ohemeng Denkyira</t>
  </si>
  <si>
    <t>00000121</t>
  </si>
  <si>
    <t>00000191</t>
  </si>
  <si>
    <t>119</t>
  </si>
  <si>
    <t>Jennifer Kyeraa</t>
  </si>
  <si>
    <t>Kwame Amponsah</t>
  </si>
  <si>
    <t>00000122</t>
  </si>
  <si>
    <t>00000161</t>
  </si>
  <si>
    <t>120</t>
  </si>
  <si>
    <t>Abena Bedge</t>
  </si>
  <si>
    <t>David Viguro</t>
  </si>
  <si>
    <t>00000123</t>
  </si>
  <si>
    <t>00000158</t>
  </si>
  <si>
    <t>121</t>
  </si>
  <si>
    <t>Isaac Kwasi Appiah</t>
  </si>
  <si>
    <t>Samuel Dankwah</t>
  </si>
  <si>
    <t>00000124</t>
  </si>
  <si>
    <t>122</t>
  </si>
  <si>
    <t>Alfred Kwaku Gyensah</t>
  </si>
  <si>
    <t>Eric Appiah</t>
  </si>
  <si>
    <t>00000125</t>
  </si>
  <si>
    <t>00000249</t>
  </si>
  <si>
    <t>123</t>
  </si>
  <si>
    <t>Kwasi George</t>
  </si>
  <si>
    <t>Juliana Dede</t>
  </si>
  <si>
    <t>00000126</t>
  </si>
  <si>
    <t>00000183</t>
  </si>
  <si>
    <t>124</t>
  </si>
  <si>
    <t>Mercy Acheampomaa</t>
  </si>
  <si>
    <t>Obeng Amoah</t>
  </si>
  <si>
    <t>00000127</t>
  </si>
  <si>
    <t>125</t>
  </si>
  <si>
    <t>Mabel Afrah</t>
  </si>
  <si>
    <t>Frank Adomako</t>
  </si>
  <si>
    <t>00000128</t>
  </si>
  <si>
    <t>00000175</t>
  </si>
  <si>
    <t>126</t>
  </si>
  <si>
    <t>Erica Boakye</t>
  </si>
  <si>
    <t>Kwabena Boakye</t>
  </si>
  <si>
    <t>00000129</t>
  </si>
  <si>
    <t>127</t>
  </si>
  <si>
    <t>Mercy Yeboah</t>
  </si>
  <si>
    <t>Accra</t>
  </si>
  <si>
    <t>00000130</t>
  </si>
  <si>
    <t>00000229</t>
  </si>
  <si>
    <t>128</t>
  </si>
  <si>
    <t>Joseph Bortey Alabi</t>
  </si>
  <si>
    <t>Evans Anyitey</t>
  </si>
  <si>
    <t>00000131</t>
  </si>
  <si>
    <t>00000154</t>
  </si>
  <si>
    <t>129</t>
  </si>
  <si>
    <t>Comfort Awo</t>
  </si>
  <si>
    <t>James Teye</t>
  </si>
  <si>
    <t>Mampong</t>
  </si>
  <si>
    <t>00000132</t>
  </si>
  <si>
    <t>00000248</t>
  </si>
  <si>
    <t>130</t>
  </si>
  <si>
    <t>Kwame Attah</t>
  </si>
  <si>
    <t>Kwame Tawiah</t>
  </si>
  <si>
    <t>00000133</t>
  </si>
  <si>
    <t>00000178</t>
  </si>
  <si>
    <t>131</t>
  </si>
  <si>
    <t>Yaw Nyarko</t>
  </si>
  <si>
    <t>Asiedu Ampong</t>
  </si>
  <si>
    <t>Akropong</t>
  </si>
  <si>
    <t>00000134</t>
  </si>
  <si>
    <t>00000198</t>
  </si>
  <si>
    <t>132</t>
  </si>
  <si>
    <t>Kwasi Yeboah</t>
  </si>
  <si>
    <t>Kwame Oduro</t>
  </si>
  <si>
    <t>00000135</t>
  </si>
  <si>
    <t>00000242</t>
  </si>
  <si>
    <t>133</t>
  </si>
  <si>
    <t>Yaw Mark Adu</t>
  </si>
  <si>
    <t>Yaw Foster Antwi</t>
  </si>
  <si>
    <t>00000136</t>
  </si>
  <si>
    <t>00000165</t>
  </si>
  <si>
    <t>134</t>
  </si>
  <si>
    <t>Margaret Boatemaa</t>
  </si>
  <si>
    <t>Kwame Owusu</t>
  </si>
  <si>
    <t>00000137</t>
  </si>
  <si>
    <t>00000203</t>
  </si>
  <si>
    <t>135</t>
  </si>
  <si>
    <t>Emmanuel Amoako G.</t>
  </si>
  <si>
    <t>Paul Asante</t>
  </si>
  <si>
    <t>Senkubenase</t>
  </si>
  <si>
    <t>00000138</t>
  </si>
  <si>
    <t>00000233</t>
  </si>
  <si>
    <t>136</t>
  </si>
  <si>
    <t>Joyce Oforiwaa</t>
  </si>
  <si>
    <t>Thomas Asimeng</t>
  </si>
  <si>
    <t>00000139</t>
  </si>
  <si>
    <t>00000194</t>
  </si>
  <si>
    <t>137</t>
  </si>
  <si>
    <t>Florence Kumiwaa</t>
  </si>
  <si>
    <t>Samuel Ofori Ampofo</t>
  </si>
  <si>
    <t>00000140</t>
  </si>
  <si>
    <t>00000189</t>
  </si>
  <si>
    <t>138</t>
  </si>
  <si>
    <t>Noah Teye</t>
  </si>
  <si>
    <t>Noah Tettey</t>
  </si>
  <si>
    <t>00000142</t>
  </si>
  <si>
    <t>00000184</t>
  </si>
  <si>
    <t>139</t>
  </si>
  <si>
    <t>Kwame Agyei</t>
  </si>
  <si>
    <t>Mark Abrokwah</t>
  </si>
  <si>
    <t>00000143</t>
  </si>
  <si>
    <t>00000180</t>
  </si>
  <si>
    <t>140</t>
  </si>
  <si>
    <t>Afia Martha Frimpomaa</t>
  </si>
  <si>
    <t>00000144</t>
  </si>
  <si>
    <t>00000234</t>
  </si>
  <si>
    <t>141</t>
  </si>
  <si>
    <t>Comfort Appeah</t>
  </si>
  <si>
    <t>Isaac Ofori</t>
  </si>
  <si>
    <t>Kade</t>
  </si>
  <si>
    <t>00000145</t>
  </si>
  <si>
    <t>00000231</t>
  </si>
  <si>
    <t>142</t>
  </si>
  <si>
    <t>Kwasi Asare</t>
  </si>
  <si>
    <t>Dickson Nyarko</t>
  </si>
  <si>
    <t>00000146</t>
  </si>
  <si>
    <t>00000167</t>
  </si>
  <si>
    <t>143</t>
  </si>
  <si>
    <t>Samuel Nyarko</t>
  </si>
  <si>
    <t>Kwaku Darkwah</t>
  </si>
  <si>
    <t>00000147</t>
  </si>
  <si>
    <t>144</t>
  </si>
  <si>
    <t>Yaa Ntiamoah</t>
  </si>
  <si>
    <t>Samson Twum</t>
  </si>
  <si>
    <t>00000148</t>
  </si>
  <si>
    <t>00000196</t>
  </si>
  <si>
    <t>145</t>
  </si>
  <si>
    <t>Ebenezer Ofosuhene Antwi</t>
  </si>
  <si>
    <t>Antwi Benoah</t>
  </si>
  <si>
    <t>Tema</t>
  </si>
  <si>
    <t>00000149</t>
  </si>
  <si>
    <t>00000185</t>
  </si>
  <si>
    <t>146</t>
  </si>
  <si>
    <t>Yaw Darko</t>
  </si>
  <si>
    <t>Yaw Nimo</t>
  </si>
  <si>
    <t>00000150</t>
  </si>
  <si>
    <t>00000166</t>
  </si>
  <si>
    <t>147</t>
  </si>
  <si>
    <t>Comfort Abong</t>
  </si>
  <si>
    <t>Regina Ofosua</t>
  </si>
  <si>
    <t>00000240</t>
  </si>
  <si>
    <t>148</t>
  </si>
  <si>
    <t>Collins Peprah</t>
  </si>
  <si>
    <t>00000210</t>
  </si>
  <si>
    <t>149</t>
  </si>
  <si>
    <t>Mina Asantewaa</t>
  </si>
  <si>
    <t>Deborah Pokuaa</t>
  </si>
  <si>
    <t>00000208</t>
  </si>
  <si>
    <t>150</t>
  </si>
  <si>
    <t>Regina Konadu</t>
  </si>
  <si>
    <t>151</t>
  </si>
  <si>
    <t>Yawson Asante</t>
  </si>
  <si>
    <t>Opanyin Yeboah</t>
  </si>
  <si>
    <t>00000202</t>
  </si>
  <si>
    <t>152</t>
  </si>
  <si>
    <t>Felix Kwadwo Ampofo</t>
  </si>
  <si>
    <t>Eric Ampofo</t>
  </si>
  <si>
    <t>00000108</t>
  </si>
  <si>
    <t>153</t>
  </si>
  <si>
    <t>Yaa Asuma</t>
  </si>
  <si>
    <t>Felix Asante</t>
  </si>
  <si>
    <t>00000207</t>
  </si>
  <si>
    <t>154</t>
  </si>
  <si>
    <t>Dickson Kwame</t>
  </si>
  <si>
    <t>Isaac Boafo</t>
  </si>
  <si>
    <t>00000226</t>
  </si>
  <si>
    <t>155</t>
  </si>
  <si>
    <t>Adwoa Darkwaa</t>
  </si>
  <si>
    <t>Nicholas Bosompem</t>
  </si>
  <si>
    <t>00000159</t>
  </si>
  <si>
    <t>00000192</t>
  </si>
  <si>
    <t>156</t>
  </si>
  <si>
    <t>Nelson Kwasi Nartey</t>
  </si>
  <si>
    <t>Michael Tetteh</t>
  </si>
  <si>
    <t>00000160</t>
  </si>
  <si>
    <t>00000225</t>
  </si>
  <si>
    <t>157</t>
  </si>
  <si>
    <t>Yaw Oppong</t>
  </si>
  <si>
    <t>Joyce Ofosuaa</t>
  </si>
  <si>
    <t>00000197</t>
  </si>
  <si>
    <t>158</t>
  </si>
  <si>
    <t>Dora Afrah</t>
  </si>
  <si>
    <t>Kwaku Appiah</t>
  </si>
  <si>
    <t>00000243</t>
  </si>
  <si>
    <t>159</t>
  </si>
  <si>
    <t>Alice Asaah</t>
  </si>
  <si>
    <t>00000163</t>
  </si>
  <si>
    <t>160</t>
  </si>
  <si>
    <t>Patience Oforiwaa</t>
  </si>
  <si>
    <t>Seth Kobea</t>
  </si>
  <si>
    <t>00000193</t>
  </si>
  <si>
    <t>161</t>
  </si>
  <si>
    <t>Man Togo</t>
  </si>
  <si>
    <t>Kwame Akoto</t>
  </si>
  <si>
    <t>00000173</t>
  </si>
  <si>
    <t>162</t>
  </si>
  <si>
    <t>Doris Ohenewaa</t>
  </si>
  <si>
    <t>Seth Okyere</t>
  </si>
  <si>
    <t>00000205</t>
  </si>
  <si>
    <t>163</t>
  </si>
  <si>
    <t>Daniel Kwame Marfo</t>
  </si>
  <si>
    <t>Foster Agyare</t>
  </si>
  <si>
    <t>164</t>
  </si>
  <si>
    <t>Sophia Frimpong</t>
  </si>
  <si>
    <t>Richard Bentum</t>
  </si>
  <si>
    <t>00000174</t>
  </si>
  <si>
    <t>165</t>
  </si>
  <si>
    <t>Afi Tagbor</t>
  </si>
  <si>
    <t>Ernest Avadzinu</t>
  </si>
  <si>
    <t>Kpando</t>
  </si>
  <si>
    <t>00000219</t>
  </si>
  <si>
    <t>166</t>
  </si>
  <si>
    <t>Rose Animah</t>
  </si>
  <si>
    <t>John Ofori</t>
  </si>
  <si>
    <t>00000206</t>
  </si>
  <si>
    <t>167</t>
  </si>
  <si>
    <t>Sarah Attaa</t>
  </si>
  <si>
    <t>Jones Brobbey</t>
  </si>
  <si>
    <t>00000241</t>
  </si>
  <si>
    <t>168</t>
  </si>
  <si>
    <t>Samuel Akuako</t>
  </si>
  <si>
    <t>Yaw Acheampong</t>
  </si>
  <si>
    <t>00000217</t>
  </si>
  <si>
    <t>169</t>
  </si>
  <si>
    <t>Daniel Opoku</t>
  </si>
  <si>
    <t>Raymond Agyei</t>
  </si>
  <si>
    <t>00000211</t>
  </si>
  <si>
    <t>170</t>
  </si>
  <si>
    <t>Comfort Afrah</t>
  </si>
  <si>
    <t>00000235</t>
  </si>
  <si>
    <t>171</t>
  </si>
  <si>
    <t>Esther Serwaa</t>
  </si>
  <si>
    <t>Georgina Antwiwaa</t>
  </si>
  <si>
    <t>00000236</t>
  </si>
  <si>
    <t>172</t>
  </si>
  <si>
    <t>Patrick Tetteh</t>
  </si>
  <si>
    <t>00000195</t>
  </si>
  <si>
    <t>173</t>
  </si>
  <si>
    <t>Grace Asiedua</t>
  </si>
  <si>
    <t>Godfred Darkwah</t>
  </si>
  <si>
    <t>00000177</t>
  </si>
  <si>
    <t>00000247</t>
  </si>
  <si>
    <t>174</t>
  </si>
  <si>
    <t>Alex Antwi Darko</t>
  </si>
  <si>
    <t>175</t>
  </si>
  <si>
    <t>Akosua Beatrice</t>
  </si>
  <si>
    <t>David Boadi</t>
  </si>
  <si>
    <t>00000212</t>
  </si>
  <si>
    <t>176</t>
  </si>
  <si>
    <t>Kwadwo Darkwah</t>
  </si>
  <si>
    <t>Kwabena Appiah</t>
  </si>
  <si>
    <t>00000215</t>
  </si>
  <si>
    <t>177</t>
  </si>
  <si>
    <t>Deborah Otenewaa</t>
  </si>
  <si>
    <t>Kwame Nuamah</t>
  </si>
  <si>
    <t>00000181</t>
  </si>
  <si>
    <t>00000214</t>
  </si>
  <si>
    <t>178</t>
  </si>
  <si>
    <t>Godwin Adamtey</t>
  </si>
  <si>
    <t>Emmanuel Onukpa</t>
  </si>
  <si>
    <t>00000200</t>
  </si>
  <si>
    <t>179</t>
  </si>
  <si>
    <t>Christopher Addo</t>
  </si>
  <si>
    <t>Albert K. Tetteh</t>
  </si>
  <si>
    <t>Amanfrom</t>
  </si>
  <si>
    <t>180</t>
  </si>
  <si>
    <t>Rita Antwi</t>
  </si>
  <si>
    <t>K. Donsh</t>
  </si>
  <si>
    <t>00000230</t>
  </si>
  <si>
    <t>181</t>
  </si>
  <si>
    <t>Kofi Alhassan</t>
  </si>
  <si>
    <t>Okyere Yusif</t>
  </si>
  <si>
    <t>00000221</t>
  </si>
  <si>
    <t>182</t>
  </si>
  <si>
    <t>Francis Owusu</t>
  </si>
  <si>
    <t>Ebenezer Odoi Lartey</t>
  </si>
  <si>
    <t>00000188</t>
  </si>
  <si>
    <t>183</t>
  </si>
  <si>
    <t>Joseph Antiri Ofori-Atta</t>
  </si>
  <si>
    <t>Michael Antiri Adisi</t>
  </si>
  <si>
    <t>00000228</t>
  </si>
  <si>
    <t>184</t>
  </si>
  <si>
    <t>Ama Adukpo</t>
  </si>
  <si>
    <t>Kwaku Adjakpa</t>
  </si>
  <si>
    <t>Torpraman</t>
  </si>
  <si>
    <t>185</t>
  </si>
  <si>
    <t>Emmanuel Essel</t>
  </si>
  <si>
    <t>00000199</t>
  </si>
  <si>
    <t>186</t>
  </si>
  <si>
    <t>Dickson Amedzo</t>
  </si>
  <si>
    <t>Samuel K. Nyavi</t>
  </si>
  <si>
    <t>187</t>
  </si>
  <si>
    <t>Alex Kofi Darkwah</t>
  </si>
  <si>
    <t>Yaw Osarfo</t>
  </si>
  <si>
    <t>188</t>
  </si>
  <si>
    <t>Alexander Brobbey</t>
  </si>
  <si>
    <t>Christina Asantewaa</t>
  </si>
  <si>
    <t>00000216</t>
  </si>
  <si>
    <t>189</t>
  </si>
  <si>
    <t>Dora Darkwaah</t>
  </si>
  <si>
    <t>Nti Botwe</t>
  </si>
  <si>
    <t>0556137887</t>
  </si>
  <si>
    <t>00000227</t>
  </si>
  <si>
    <t>190</t>
  </si>
  <si>
    <t>Kofi Ametekpe</t>
  </si>
  <si>
    <t>Samson Wiekpo</t>
  </si>
  <si>
    <t>00000201</t>
  </si>
  <si>
    <t>191</t>
  </si>
  <si>
    <t>Margaret Nyankson</t>
  </si>
  <si>
    <t>Ebenezer Addo</t>
  </si>
  <si>
    <t>192</t>
  </si>
  <si>
    <t>Kwasi Nimako</t>
  </si>
  <si>
    <t>Yeboah Adade</t>
  </si>
  <si>
    <t>193</t>
  </si>
  <si>
    <t>Matilda Obenewaa</t>
  </si>
  <si>
    <t>Enoch Owusu</t>
  </si>
  <si>
    <t>194</t>
  </si>
  <si>
    <t>Kwame Yeboah</t>
  </si>
  <si>
    <t>Seth Frimpong</t>
  </si>
  <si>
    <t>00000238</t>
  </si>
  <si>
    <t>195</t>
  </si>
  <si>
    <t>Isaac Kwabena Bosompem</t>
  </si>
  <si>
    <t>Emmanuel Frimpong</t>
  </si>
  <si>
    <t>00000213</t>
  </si>
  <si>
    <t>196</t>
  </si>
  <si>
    <t>Beatrice Akosua Antwiwaa</t>
  </si>
  <si>
    <t>Martin Peprah</t>
  </si>
  <si>
    <t>197</t>
  </si>
  <si>
    <t>Kofi Darkwah</t>
  </si>
  <si>
    <t>Isaac Obeng</t>
  </si>
  <si>
    <t>198</t>
  </si>
  <si>
    <t>Adwoa Kwakyewaa</t>
  </si>
  <si>
    <t>Kwame Gyapong</t>
  </si>
  <si>
    <t>199</t>
  </si>
  <si>
    <t>Attah Ahorku</t>
  </si>
  <si>
    <t>Joyce Sarpeh</t>
  </si>
  <si>
    <t>200</t>
  </si>
  <si>
    <t>Comfort Inkum</t>
  </si>
  <si>
    <t>Opanyin Kwaku Mensah</t>
  </si>
  <si>
    <t>201</t>
  </si>
  <si>
    <t>Kennedy Ampaw</t>
  </si>
  <si>
    <t>Harrison Amponsah</t>
  </si>
  <si>
    <t>202</t>
  </si>
  <si>
    <t>Emmanuel Tsati</t>
  </si>
  <si>
    <t>0549548828</t>
  </si>
  <si>
    <t>00000250</t>
  </si>
  <si>
    <t>203</t>
  </si>
  <si>
    <t>Alex Twumasi</t>
  </si>
  <si>
    <t xml:space="preserve">Kwaku Adjei </t>
  </si>
  <si>
    <t>0244597742</t>
  </si>
  <si>
    <t>Kumasi</t>
  </si>
  <si>
    <t>04:25:00 AM</t>
  </si>
  <si>
    <t>00000220</t>
  </si>
  <si>
    <t>204</t>
  </si>
  <si>
    <t>Amos Martey</t>
  </si>
  <si>
    <t>Samuel kofi Ahua</t>
  </si>
  <si>
    <t>0243882578</t>
  </si>
  <si>
    <t>05:12:00 AM</t>
  </si>
  <si>
    <t>00000209</t>
  </si>
  <si>
    <t>205</t>
  </si>
  <si>
    <t>Comfort Bruwaa</t>
  </si>
  <si>
    <t>Martin Ankomah Oduro</t>
  </si>
  <si>
    <t>0552625629</t>
  </si>
  <si>
    <t>08:00:00 PM</t>
  </si>
  <si>
    <t>206</t>
  </si>
  <si>
    <t>Kofi Oduro</t>
  </si>
  <si>
    <t>E. K. Boahene</t>
  </si>
  <si>
    <t>0592085773</t>
  </si>
  <si>
    <t>207</t>
  </si>
  <si>
    <t>Dede Nartey</t>
  </si>
  <si>
    <t>Fredrick T. Nartey</t>
  </si>
  <si>
    <t>0242944617</t>
  </si>
  <si>
    <t>12:30:00 PM</t>
  </si>
  <si>
    <t>208</t>
  </si>
  <si>
    <t>Hayford Mensah</t>
  </si>
  <si>
    <t>Kwasi Hansom</t>
  </si>
  <si>
    <t>0533955770</t>
  </si>
  <si>
    <t>12:45:00 PM</t>
  </si>
  <si>
    <t>00000239</t>
  </si>
  <si>
    <t>209</t>
  </si>
  <si>
    <t>William Addo</t>
  </si>
  <si>
    <t>Alex Addo</t>
  </si>
  <si>
    <t>0533814052</t>
  </si>
  <si>
    <t>09:10:00 AM</t>
  </si>
  <si>
    <t>210</t>
  </si>
  <si>
    <t>Ali Tetteh</t>
  </si>
  <si>
    <t>Jonathan Narh</t>
  </si>
  <si>
    <t>0240703240</t>
  </si>
  <si>
    <t>05:00:00 AM</t>
  </si>
  <si>
    <t>00000112</t>
  </si>
  <si>
    <t>211</t>
  </si>
  <si>
    <t>Adama Sagno</t>
  </si>
  <si>
    <t>Dickson Kamboe</t>
  </si>
  <si>
    <t>0546174677</t>
  </si>
  <si>
    <t>00000204</t>
  </si>
  <si>
    <t>212</t>
  </si>
  <si>
    <t>Tetteh Wayoe</t>
  </si>
  <si>
    <t>John Albert Tetteh</t>
  </si>
  <si>
    <t>0249640700</t>
  </si>
  <si>
    <t>06:30:00 PM</t>
  </si>
  <si>
    <t>213</t>
  </si>
  <si>
    <t>William Ofori</t>
  </si>
  <si>
    <t>Kwasi Ofori</t>
  </si>
  <si>
    <t>0241964760</t>
  </si>
  <si>
    <t>00000244</t>
  </si>
  <si>
    <t>214</t>
  </si>
  <si>
    <t>Enock Brafo</t>
  </si>
  <si>
    <t>Eric Obuobi</t>
  </si>
  <si>
    <t>0544885661</t>
  </si>
  <si>
    <t>01:20:00 PM</t>
  </si>
  <si>
    <t>215</t>
  </si>
  <si>
    <t>Yaw Peprah</t>
  </si>
  <si>
    <t>Adansi Pipim</t>
  </si>
  <si>
    <t>0242671859</t>
  </si>
  <si>
    <t>08:00:00 AM</t>
  </si>
  <si>
    <t>216</t>
  </si>
  <si>
    <t>Paul Brako</t>
  </si>
  <si>
    <t>Samuel Yamoah</t>
  </si>
  <si>
    <t>0256698697</t>
  </si>
  <si>
    <t>12:40:00 PM</t>
  </si>
  <si>
    <t>217</t>
  </si>
  <si>
    <t>Comfort Apenteng</t>
  </si>
  <si>
    <t>Owusu Agyei</t>
  </si>
  <si>
    <t>0246848492</t>
  </si>
  <si>
    <t>04:00:00 PM</t>
  </si>
  <si>
    <t>218</t>
  </si>
  <si>
    <t>Georgina Korang</t>
  </si>
  <si>
    <t>0537667291</t>
  </si>
  <si>
    <t>00000223</t>
  </si>
  <si>
    <t>00000232</t>
  </si>
  <si>
    <t>219</t>
  </si>
  <si>
    <t>Juliana Odurowaa</t>
  </si>
  <si>
    <t>Samuel Darkwah</t>
  </si>
  <si>
    <t>0540822333</t>
  </si>
  <si>
    <t>08:30:00 AM</t>
  </si>
  <si>
    <t>00000224</t>
  </si>
  <si>
    <t>220</t>
  </si>
  <si>
    <t>Adwoa Owusua</t>
  </si>
  <si>
    <t>Kofi Ankrah</t>
  </si>
  <si>
    <t>0242323886</t>
  </si>
  <si>
    <t>06:24:00 PM</t>
  </si>
  <si>
    <t>221</t>
  </si>
  <si>
    <t>Philipa Aryeetey</t>
  </si>
  <si>
    <t>Emmanuel Doku</t>
  </si>
  <si>
    <t>0595110746</t>
  </si>
  <si>
    <t>01:00:00 AM</t>
  </si>
  <si>
    <t>222</t>
  </si>
  <si>
    <t>Isaac Kyei</t>
  </si>
  <si>
    <t>0246434239</t>
  </si>
  <si>
    <t>02:50:00 AM</t>
  </si>
  <si>
    <t>223</t>
  </si>
  <si>
    <t>Ama Cynthia</t>
  </si>
  <si>
    <t>Benjamin Amoakwa</t>
  </si>
  <si>
    <t>0244660293</t>
  </si>
  <si>
    <t>07:30:00 PM</t>
  </si>
  <si>
    <t>224</t>
  </si>
  <si>
    <t>Nicholas Kwadwo Yeboah</t>
  </si>
  <si>
    <t>Kwadwo Ntiamoah</t>
  </si>
  <si>
    <t>0542837960</t>
  </si>
  <si>
    <t>225</t>
  </si>
  <si>
    <t>Samuel Kikisi</t>
  </si>
  <si>
    <t>Twum Ampofo</t>
  </si>
  <si>
    <t>0240889143</t>
  </si>
  <si>
    <t>12:00:00 PM</t>
  </si>
  <si>
    <t>226</t>
  </si>
  <si>
    <t>Godfred K. Ampabeng</t>
  </si>
  <si>
    <t>Opanyin Amagyei</t>
  </si>
  <si>
    <t>0557232009</t>
  </si>
  <si>
    <t>04:30:00 PM</t>
  </si>
  <si>
    <t>227</t>
  </si>
  <si>
    <t>Boadi Darkwah</t>
  </si>
  <si>
    <t>Kwasi Badu</t>
  </si>
  <si>
    <t>0549640472</t>
  </si>
  <si>
    <t>02:00:00 PM</t>
  </si>
  <si>
    <t>228</t>
  </si>
  <si>
    <t>Esther Boaduaa</t>
  </si>
  <si>
    <t>09:30:00 AM</t>
  </si>
  <si>
    <t>229</t>
  </si>
  <si>
    <t>Kwaku Peprah Mireku</t>
  </si>
  <si>
    <t>Kwadwo Frimpong</t>
  </si>
  <si>
    <t>07:15:00 PM</t>
  </si>
  <si>
    <t>230</t>
  </si>
  <si>
    <t>Akua Botwe</t>
  </si>
  <si>
    <t>Yaw Nti</t>
  </si>
  <si>
    <t>0541452511</t>
  </si>
  <si>
    <t>00000237</t>
  </si>
  <si>
    <t>231</t>
  </si>
  <si>
    <t>0243164231</t>
  </si>
  <si>
    <t>02:15:00 PM</t>
  </si>
  <si>
    <t>232</t>
  </si>
  <si>
    <t>Abdul Razak Sulemana</t>
  </si>
  <si>
    <t>Awudu Mahama</t>
  </si>
  <si>
    <t>0249342673</t>
  </si>
  <si>
    <t>09:00:00 PM</t>
  </si>
  <si>
    <t>233</t>
  </si>
  <si>
    <t>Bernard Asamoah</t>
  </si>
  <si>
    <t>Kwasi Foster</t>
  </si>
  <si>
    <t>0247628807</t>
  </si>
  <si>
    <t>234</t>
  </si>
  <si>
    <t>Ama Obenewaa</t>
  </si>
  <si>
    <t>235</t>
  </si>
  <si>
    <t>Janet Aboagyewaa</t>
  </si>
  <si>
    <t>Kwame Atuah</t>
  </si>
  <si>
    <t>0554620203</t>
  </si>
  <si>
    <t>Kukubi</t>
  </si>
  <si>
    <t>236</t>
  </si>
  <si>
    <t>Ernestina Asieduaa</t>
  </si>
  <si>
    <t>Kofi Boadu</t>
  </si>
  <si>
    <t>0241868763</t>
  </si>
  <si>
    <t>03:30:00 PM</t>
  </si>
  <si>
    <t>237</t>
  </si>
  <si>
    <t>Goyen Appam</t>
  </si>
  <si>
    <t>Kwame Appam</t>
  </si>
  <si>
    <t>0535800696</t>
  </si>
  <si>
    <t>238</t>
  </si>
  <si>
    <t>Kwadwo Addo</t>
  </si>
  <si>
    <t>Kofi Owusu</t>
  </si>
  <si>
    <t>0242359012</t>
  </si>
  <si>
    <t>06:45:00 AM</t>
  </si>
  <si>
    <t>239</t>
  </si>
  <si>
    <t>Akosua Nyamekye</t>
  </si>
  <si>
    <t>055306675</t>
  </si>
  <si>
    <t>240</t>
  </si>
  <si>
    <t>Emmanuel Kuma Tagbor</t>
  </si>
  <si>
    <t>Peter Tagbor</t>
  </si>
  <si>
    <t>0243132787</t>
  </si>
  <si>
    <t>01:00:00 PM</t>
  </si>
  <si>
    <t>00000245</t>
  </si>
  <si>
    <t>241</t>
  </si>
  <si>
    <t>Solo Gadzi Atikpoe</t>
  </si>
  <si>
    <t>Samuel Agbeko</t>
  </si>
  <si>
    <t>0542406115</t>
  </si>
  <si>
    <t>242</t>
  </si>
  <si>
    <t>Isaac Kwadwo Agyei</t>
  </si>
  <si>
    <t>Emmanuel Akpandja</t>
  </si>
  <si>
    <t>0555966460</t>
  </si>
  <si>
    <t>04:10:00 PM</t>
  </si>
  <si>
    <t>243</t>
  </si>
  <si>
    <t>Dina Appiah</t>
  </si>
  <si>
    <t>0547716620</t>
  </si>
  <si>
    <t>05:15:00 PM</t>
  </si>
  <si>
    <t>244</t>
  </si>
  <si>
    <t>Solomon Nuadeke</t>
  </si>
  <si>
    <t>William Agbodeka</t>
  </si>
  <si>
    <t>0542518874</t>
  </si>
  <si>
    <t>07:00:00 PM</t>
  </si>
  <si>
    <t>245</t>
  </si>
  <si>
    <t>Rosemond Amoako</t>
  </si>
  <si>
    <t>Hayford Amoako</t>
  </si>
  <si>
    <t>0594114353</t>
  </si>
  <si>
    <t>246</t>
  </si>
  <si>
    <t>Doris</t>
  </si>
  <si>
    <t>Francis Kwarteng</t>
  </si>
  <si>
    <t>Akyem Krobo</t>
  </si>
  <si>
    <t>00000251</t>
  </si>
  <si>
    <t>247</t>
  </si>
  <si>
    <t>Richmond Asamoah</t>
  </si>
  <si>
    <t>Welbeck Adu Amankwah</t>
  </si>
  <si>
    <t>0555338725</t>
  </si>
  <si>
    <t>00000252</t>
  </si>
  <si>
    <t>248</t>
  </si>
  <si>
    <t>Naomi Nuadeke</t>
  </si>
  <si>
    <t>03:00:00 PM</t>
  </si>
  <si>
    <t>00000253</t>
  </si>
  <si>
    <t>249</t>
  </si>
  <si>
    <t>Samuel Akwasi Acheampong</t>
  </si>
  <si>
    <t>09:30:00 PM</t>
  </si>
  <si>
    <t>00000254</t>
  </si>
  <si>
    <t>250</t>
  </si>
  <si>
    <t>02:50:00 PM</t>
  </si>
  <si>
    <t>00000255</t>
  </si>
  <si>
    <t>251</t>
  </si>
  <si>
    <t>Gifty Ampofo</t>
  </si>
  <si>
    <t>Kwame Michael</t>
  </si>
  <si>
    <t>0246906921</t>
  </si>
  <si>
    <t>00000256</t>
  </si>
  <si>
    <t>252</t>
  </si>
  <si>
    <t>Regina Serwaa Ampofo</t>
  </si>
  <si>
    <t>00000257</t>
  </si>
  <si>
    <t>253</t>
  </si>
  <si>
    <t>Aku Ankrah</t>
  </si>
  <si>
    <t>Felix Doku Nartey</t>
  </si>
  <si>
    <t>0209910278</t>
  </si>
  <si>
    <t>09:00:00 AM</t>
  </si>
  <si>
    <t>00000258</t>
  </si>
  <si>
    <t>254</t>
  </si>
  <si>
    <t>Adu Kofi</t>
  </si>
  <si>
    <t>0534493597</t>
  </si>
  <si>
    <t>00000259</t>
  </si>
  <si>
    <t>255</t>
  </si>
  <si>
    <t>Louis Yaw Doku</t>
  </si>
  <si>
    <t>George Ofori</t>
  </si>
  <si>
    <t>0245353185</t>
  </si>
  <si>
    <t>00000260</t>
  </si>
  <si>
    <t>256</t>
  </si>
  <si>
    <t>Comfort Odentaa</t>
  </si>
  <si>
    <t>Emmanuel Antwi Boasiako</t>
  </si>
  <si>
    <t>0243078509</t>
  </si>
  <si>
    <t>00000261</t>
  </si>
  <si>
    <t>257</t>
  </si>
  <si>
    <t>Veronica Aku Amedi</t>
  </si>
  <si>
    <t>Paul Sedjro</t>
  </si>
  <si>
    <t>0244090419/0244068413</t>
  </si>
  <si>
    <t>10:00:00 AM</t>
  </si>
  <si>
    <t>00000262</t>
  </si>
  <si>
    <t>258</t>
  </si>
  <si>
    <t>Emmanuel Asante</t>
  </si>
  <si>
    <t>Yaw Bredu</t>
  </si>
  <si>
    <t>0545342455</t>
  </si>
  <si>
    <t>11:22:00 AM</t>
  </si>
  <si>
    <t>00000263</t>
  </si>
  <si>
    <t>259</t>
  </si>
  <si>
    <t>Emmanuel Tettey</t>
  </si>
  <si>
    <t>Francis Teye-Wayoe</t>
  </si>
  <si>
    <t>0242261180</t>
  </si>
  <si>
    <t>11:30:00 PM</t>
  </si>
  <si>
    <t>00000264</t>
  </si>
  <si>
    <t>260</t>
  </si>
  <si>
    <t>Christina Affum</t>
  </si>
  <si>
    <t>Julius Tetteh</t>
  </si>
  <si>
    <t>0246532145</t>
  </si>
  <si>
    <t>00000265</t>
  </si>
  <si>
    <t>261</t>
  </si>
  <si>
    <t>Esther Kyerewaa</t>
  </si>
  <si>
    <t>0241266301</t>
  </si>
  <si>
    <t>Nkurakan</t>
  </si>
  <si>
    <t>07:40:00 PM</t>
  </si>
  <si>
    <t>00000266</t>
  </si>
  <si>
    <t>262</t>
  </si>
  <si>
    <t>Kwabena Abrokwah</t>
  </si>
  <si>
    <t>Joyce Akoto</t>
  </si>
  <si>
    <t>0551420196</t>
  </si>
  <si>
    <t>12:50:00 PM</t>
  </si>
  <si>
    <t>00000267</t>
  </si>
  <si>
    <t>IN CUSTODY</t>
  </si>
  <si>
    <t>263</t>
  </si>
  <si>
    <t>Janet Ampofowaa Amponsah</t>
  </si>
  <si>
    <t>02444126977</t>
  </si>
  <si>
    <t>01:45:00 PM</t>
  </si>
  <si>
    <t>00000268</t>
  </si>
  <si>
    <t>264</t>
  </si>
  <si>
    <t>Priana Odame</t>
  </si>
  <si>
    <t>Ernest Gyamfi</t>
  </si>
  <si>
    <t>00000269</t>
  </si>
  <si>
    <t>265</t>
  </si>
  <si>
    <t>Celestial Awuku Nyarko</t>
  </si>
  <si>
    <t>Divine Antwi</t>
  </si>
  <si>
    <t>266</t>
  </si>
  <si>
    <t>Regina Brakoaa</t>
  </si>
  <si>
    <t>Patrick Owusu Agyei</t>
  </si>
  <si>
    <t>267</t>
  </si>
  <si>
    <t>Maxwell Owusu</t>
  </si>
  <si>
    <t>268</t>
  </si>
  <si>
    <t>Kwabena Sakyiama</t>
  </si>
  <si>
    <t>Ferguson Ohene</t>
  </si>
  <si>
    <t>269</t>
  </si>
  <si>
    <t>Akua Oforiwaa Anane</t>
  </si>
  <si>
    <t>Kwabena Oppong</t>
  </si>
  <si>
    <t>270</t>
  </si>
  <si>
    <t>Esi Agyarkwaa</t>
  </si>
  <si>
    <t>Job Brobbey</t>
  </si>
  <si>
    <t>271</t>
  </si>
  <si>
    <t>Mary Afia Akakpo</t>
  </si>
  <si>
    <t>Samuel Akakpo</t>
  </si>
  <si>
    <t>272</t>
  </si>
  <si>
    <t>Nana Larjder Kabutey</t>
  </si>
  <si>
    <t>Rosina Asiedua</t>
  </si>
  <si>
    <t>TAG NO.</t>
  </si>
  <si>
    <t>NAME OF DECEASED</t>
  </si>
  <si>
    <t>AGE</t>
  </si>
  <si>
    <t>GENDER</t>
  </si>
  <si>
    <t>NAME OF RELATIVE</t>
  </si>
  <si>
    <t>RELATIVE'S CONTACT</t>
  </si>
  <si>
    <t xml:space="preserve">PLACE </t>
  </si>
  <si>
    <t>ADMISSION TIME</t>
  </si>
  <si>
    <t>TYPE</t>
  </si>
  <si>
    <t>ADMISSION DATE</t>
  </si>
  <si>
    <t>DISCHARGE DATE</t>
  </si>
  <si>
    <t>STORAGE DAYS</t>
  </si>
  <si>
    <t>EMBALMING FEE</t>
  </si>
  <si>
    <t>COLDROOM FEE</t>
  </si>
  <si>
    <t>EMBALMING RECEIPT</t>
  </si>
  <si>
    <t>COLDROOM RECEIPT</t>
  </si>
  <si>
    <t>STORAGE FEE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</si>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</sst>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#########"/>
    <numFmt numFmtId="165" formatCode="[$-409]h:mm:ss\ AM/PM;@"/>
    <numFmt numFmtId="166" formatCode="[$]dd/mm/yyyy;@" x16r2:formatCode16="[$-en-GH,1]dd/mm/yyyy;@"/>
    <numFmt numFmtId="167" formatCode="&quot;GH₵&quot;#,##0.00"/>
    <numFmt numFmtId="168" formatCode="00000000"/>
    <numFmt numFmtId="169" formatCode="[$GHC]\ #,##0.00"/>
  </numFmts>
  <fonts count="9">
    <font>
      <sz val="11"/>
      <color theme="1"/>
      <name val="Aptos Narrow"/>
      <family val="2"/>
      <scheme val="minor"/>
    </font>
    <font>
      <sz val="11"/>
      <color rgb="FF002060"/>
      <name val="Arial Rounded MT Bold"/>
      <family val="2"/>
    </font>
    <font>
      <sz val="11"/>
      <color rgb="FFFF0000"/>
      <name val="Arial Rounded MT Bold"/>
      <family val="2"/>
    </font>
    <font>
      <sz val="14"/>
      <color rgb="FF002060"/>
      <name val="Bradley Hand ITC"/>
      <family val="4"/>
    </font>
    <font>
      <b/>
      <sz val="11"/>
      <color rgb="FF002060"/>
      <name val="Arial Rounded MT Bold"/>
      <family val="2"/>
    </font>
    <font>
      <b/>
      <sz val="11"/>
      <color rgb="FFFF0000"/>
      <name val="Arial Rounded MT Bold"/>
      <family val="2"/>
    </font>
    <font>
      <b/>
      <sz val="14"/>
      <color rgb="FF002060"/>
      <name val="Bradley Hand ITC"/>
      <family val="4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DF5FE"/>
        <bgColor indexed="64"/>
      </patternFill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0" borderId="1" xfId="0" quotePrefix="1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left" vertical="top"/>
    </xf>
    <xf numFmtId="166" fontId="1" fillId="0" borderId="2" xfId="0" applyNumberFormat="1" applyFont="1" applyBorder="1" applyAlignment="1">
      <alignment horizontal="left" vertical="top"/>
    </xf>
    <xf numFmtId="167" fontId="2" fillId="0" borderId="2" xfId="0" applyNumberFormat="1" applyFont="1" applyBorder="1" applyAlignment="1">
      <alignment horizontal="left" vertical="top"/>
    </xf>
    <xf numFmtId="168" fontId="3" fillId="0" borderId="2" xfId="0" applyNumberFormat="1" applyFont="1" applyBorder="1" applyAlignment="1">
      <alignment horizontal="left" vertical="top"/>
    </xf>
    <xf numFmtId="169" fontId="1" fillId="0" borderId="2" xfId="0" applyNumberFormat="1" applyFont="1" applyBorder="1" applyAlignment="1">
      <alignment horizontal="left" vertical="top"/>
    </xf>
    <xf numFmtId="169" fontId="1" fillId="0" borderId="0" xfId="0" applyNumberFormat="1" applyFont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49" fontId="4" fillId="3" borderId="1" xfId="0" quotePrefix="1" applyNumberFormat="1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164" fontId="4" fillId="3" borderId="2" xfId="0" applyNumberFormat="1" applyFont="1" applyFill="1" applyBorder="1" applyAlignment="1">
      <alignment horizontal="left" vertical="top"/>
    </xf>
    <xf numFmtId="165" fontId="4" fillId="3" borderId="2" xfId="0" applyNumberFormat="1" applyFont="1" applyFill="1" applyBorder="1" applyAlignment="1">
      <alignment horizontal="left" vertical="top"/>
    </xf>
    <xf numFmtId="166" fontId="4" fillId="3" borderId="2" xfId="0" applyNumberFormat="1" applyFont="1" applyFill="1" applyBorder="1" applyAlignment="1">
      <alignment horizontal="left" vertical="top"/>
    </xf>
    <xf numFmtId="167" fontId="5" fillId="3" borderId="2" xfId="0" applyNumberFormat="1" applyFont="1" applyFill="1" applyBorder="1" applyAlignment="1">
      <alignment horizontal="left" vertical="top"/>
    </xf>
    <xf numFmtId="168" fontId="6" fillId="3" borderId="2" xfId="0" applyNumberFormat="1" applyFont="1" applyFill="1" applyBorder="1" applyAlignment="1">
      <alignment horizontal="left" vertical="top"/>
    </xf>
    <xf numFmtId="169" fontId="4" fillId="3" borderId="0" xfId="0" applyNumberFormat="1" applyFont="1" applyFill="1" applyAlignment="1">
      <alignment horizontal="left" vertical="top"/>
    </xf>
    <xf numFmtId="164" fontId="1" fillId="0" borderId="2" xfId="0" quotePrefix="1" applyNumberFormat="1" applyFont="1" applyBorder="1" applyAlignment="1">
      <alignment horizontal="left" vertical="top"/>
    </xf>
    <xf numFmtId="49" fontId="7" fillId="4" borderId="1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1" fontId="7" fillId="4" borderId="2" xfId="0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 wrapText="1"/>
    </xf>
    <xf numFmtId="49" fontId="7" fillId="4" borderId="2" xfId="0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167" fontId="8" fillId="4" borderId="2" xfId="0" applyNumberFormat="1" applyFont="1" applyFill="1" applyBorder="1" applyAlignment="1">
      <alignment horizontal="center" vertical="center" wrapText="1"/>
    </xf>
    <xf numFmtId="167" fontId="8" fillId="4" borderId="2" xfId="0" applyNumberFormat="1" applyFont="1" applyFill="1" applyBorder="1" applyAlignment="1">
      <alignment horizontal="center" vertical="center"/>
    </xf>
    <xf numFmtId="168" fontId="8" fillId="4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ill>
        <patternFill>
          <bgColor rgb="FF7CF828"/>
        </patternFill>
      </fill>
    </dxf>
    <dxf>
      <fill>
        <patternFill>
          <bgColor rgb="FFFFFF00"/>
        </patternFill>
      </fill>
    </dxf>
    <dxf>
      <fill>
        <patternFill>
          <bgColor rgb="FF7CF828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7CF828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7CF828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kpod/Desktop/Documents/APM-ASUOM%20optimiz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EMPLOYEE DATA"/>
      <sheetName val="PIVOT"/>
      <sheetName val="REPORT"/>
      <sheetName val="INVENTORY"/>
      <sheetName val="INFO"/>
      <sheetName val="FEE"/>
      <sheetName val="MONTHLY INCOME"/>
      <sheetName val="DATA"/>
      <sheetName val="DEPOSITS"/>
      <sheetName val="DISCHARGES"/>
      <sheetName val="EXPENDITURE"/>
      <sheetName val="EXPENSES DECEMBER"/>
      <sheetName val="SEARCH"/>
      <sheetName val="FORMALIN"/>
      <sheetName val="MINCOME CALCULATOR"/>
      <sheetName val="LOANS"/>
      <sheetName val="APM-ASUOM optimiz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DA59-4ECE-4F05-805F-DC8F427FC05C}">
  <dimension ref="A1:R272"/>
  <sheetViews>
    <sheetView tabSelected="1" workbookViewId="0">
      <selection activeCell="C14" sqref="C14:D15"/>
    </sheetView>
  </sheetViews>
  <sheetFormatPr defaultRowHeight="13.8"/>
  <cols>
    <col min="1" max="1" width="8.69921875" bestFit="1" customWidth="1"/>
    <col min="2" max="2" width="32.296875" bestFit="1" customWidth="1"/>
    <col min="3" max="3" width="5.59765625" bestFit="1" customWidth="1"/>
    <col min="4" max="4" width="9.69921875" bestFit="1" customWidth="1"/>
    <col min="5" max="5" width="29.3984375" bestFit="1" customWidth="1"/>
    <col min="6" max="6" width="28.09765625" bestFit="1" customWidth="1"/>
    <col min="7" max="7" width="15.59765625" bestFit="1" customWidth="1"/>
    <col min="8" max="8" width="14.3984375" bestFit="1" customWidth="1"/>
    <col min="9" max="9" width="9.69921875" bestFit="1" customWidth="1"/>
    <col min="10" max="10" width="14.296875" bestFit="1" customWidth="1"/>
    <col min="11" max="11" width="17.8984375" bestFit="1" customWidth="1"/>
    <col min="12" max="12" width="25.09765625" bestFit="1" customWidth="1"/>
    <col min="13" max="13" width="14.59765625" bestFit="1" customWidth="1"/>
    <col min="14" max="14" width="15.8984375" bestFit="1" customWidth="1"/>
    <col min="15" max="15" width="14.3984375" bestFit="1" customWidth="1"/>
    <col min="16" max="16" width="14.296875" bestFit="1" customWidth="1"/>
    <col min="17" max="17" width="17.8984375" bestFit="1" customWidth="1"/>
    <col min="18" max="18" width="16.09765625" bestFit="1" customWidth="1"/>
    <col min="19" max="19" width="5.09765625" bestFit="1" customWidth="1"/>
    <col min="20" max="20" width="18.296875" bestFit="1" customWidth="1"/>
    <col min="21" max="21" width="3.8984375" bestFit="1" customWidth="1"/>
    <col min="22" max="22" width="6.09765625" bestFit="1" customWidth="1"/>
    <col min="23" max="23" width="18.8984375" bestFit="1" customWidth="1"/>
    <col min="24" max="24" width="14.296875" bestFit="1" customWidth="1"/>
    <col min="25" max="25" width="8.3984375" bestFit="1" customWidth="1"/>
    <col min="26" max="26" width="13" bestFit="1" customWidth="1"/>
    <col min="27" max="27" width="8.8984375" bestFit="1" customWidth="1"/>
    <col min="28" max="29" width="12.69921875" bestFit="1" customWidth="1"/>
    <col min="30" max="30" width="10.3984375" bestFit="1" customWidth="1"/>
    <col min="31" max="32" width="13.3984375" bestFit="1" customWidth="1"/>
    <col min="33" max="34" width="12.59765625" bestFit="1" customWidth="1"/>
    <col min="35" max="36" width="10.3984375" bestFit="1" customWidth="1"/>
    <col min="37" max="37" width="16.09765625" bestFit="1" customWidth="1"/>
  </cols>
  <sheetData>
    <row r="1" spans="1:18" ht="31.5">
      <c r="A1" s="22" t="s">
        <v>1170</v>
      </c>
      <c r="B1" s="23" t="s">
        <v>1171</v>
      </c>
      <c r="C1" s="24" t="s">
        <v>1172</v>
      </c>
      <c r="D1" s="25" t="s">
        <v>1173</v>
      </c>
      <c r="E1" s="25" t="s">
        <v>1174</v>
      </c>
      <c r="F1" s="25" t="s">
        <v>1175</v>
      </c>
      <c r="G1" s="25" t="s">
        <v>1176</v>
      </c>
      <c r="H1" s="26" t="s">
        <v>1177</v>
      </c>
      <c r="I1" s="27" t="s">
        <v>1178</v>
      </c>
      <c r="J1" s="28" t="s">
        <v>1179</v>
      </c>
      <c r="K1" s="29" t="s">
        <v>1180</v>
      </c>
      <c r="L1" s="30" t="s">
        <v>1181</v>
      </c>
      <c r="M1" s="31" t="s">
        <v>1182</v>
      </c>
      <c r="N1" s="32" t="s">
        <v>1183</v>
      </c>
      <c r="O1" s="33" t="s">
        <v>1184</v>
      </c>
      <c r="P1" s="33" t="s">
        <v>1185</v>
      </c>
      <c r="Q1" s="34" t="s">
        <v>1186</v>
      </c>
      <c r="R1" s="35" t="s">
        <v>1187</v>
      </c>
    </row>
    <row r="2" spans="1:18" ht="21">
      <c r="A2" s="1" t="s">
        <v>3</v>
      </c>
      <c r="B2" s="2" t="s">
        <v>4</v>
      </c>
      <c r="C2" s="2">
        <v>100</v>
      </c>
      <c r="D2" s="3" t="s">
        <v>0</v>
      </c>
      <c r="E2" s="3" t="s">
        <v>5</v>
      </c>
      <c r="F2" s="4">
        <v>548191078</v>
      </c>
      <c r="G2" s="3" t="s">
        <v>6</v>
      </c>
      <c r="H2" s="5">
        <v>0.5</v>
      </c>
      <c r="I2" s="3" t="s">
        <v>2</v>
      </c>
      <c r="J2" s="6">
        <v>45505</v>
      </c>
      <c r="K2" s="6">
        <v>45534</v>
      </c>
      <c r="L2" s="2">
        <f>IF(ISBLANK([1]!DATA[[#This Row],[DISCHARGE DATE]]),"NO DISCHARGE DATE",[1]!DATA[[#This Row],[DISCHARGE DATE]]-[1]!DATA[[#This Row],[ADMISSION DATE]]+1)</f>
        <v>31</v>
      </c>
      <c r="M2" s="7">
        <v>350</v>
      </c>
      <c r="N2" s="7">
        <v>403</v>
      </c>
      <c r="O2" s="8" t="s">
        <v>7</v>
      </c>
      <c r="P2" s="8" t="s">
        <v>7</v>
      </c>
      <c r="Q2" s="10" cm="1">
        <f t="array" ref="Q2">_xlfn.IFS([1]!DATA[[#This Row],[TYPE]]="Normal",[1]!DATA[[#This Row],[STORAGE DAYS]]*13,[1]!DATA[[#This Row],[TYPE]]="VIP",[1]!DATA[[#This Row],[STORAGE DAYS]]*20)</f>
        <v>403</v>
      </c>
      <c r="R2" s="11" t="str">
        <f>IF(ISBLANK([1]!DATA[[#This Row],[COLDROOM RECEIPT]]),"IN CUSTODY","DISCHARGED")</f>
        <v>DISCHARGED</v>
      </c>
    </row>
    <row r="3" spans="1:18" ht="21">
      <c r="A3" s="1" t="s">
        <v>8</v>
      </c>
      <c r="B3" s="2" t="s">
        <v>9</v>
      </c>
      <c r="C3" s="2">
        <v>77</v>
      </c>
      <c r="D3" s="3" t="s">
        <v>0</v>
      </c>
      <c r="E3" s="3" t="s">
        <v>10</v>
      </c>
      <c r="F3" s="4">
        <v>594177443</v>
      </c>
      <c r="G3" s="3" t="s">
        <v>11</v>
      </c>
      <c r="H3" s="5">
        <v>0.92361111111111116</v>
      </c>
      <c r="I3" s="3" t="s">
        <v>2</v>
      </c>
      <c r="J3" s="6">
        <v>45508</v>
      </c>
      <c r="K3" s="6">
        <v>45597</v>
      </c>
      <c r="L3" s="2">
        <f>IF(ISBLANK([1]!DATA[[#This Row],[DISCHARGE DATE]]),"NO DISCHARGE DATE",[1]!DATA[[#This Row],[DISCHARGE DATE]]-[1]!DATA[[#This Row],[ADMISSION DATE]]+1)</f>
        <v>30</v>
      </c>
      <c r="M3" s="7">
        <v>350</v>
      </c>
      <c r="N3" s="7">
        <v>1170</v>
      </c>
      <c r="O3" s="8" t="s">
        <v>12</v>
      </c>
      <c r="P3" s="8" t="s">
        <v>13</v>
      </c>
      <c r="Q3" s="10" cm="1">
        <f t="array" ref="Q3">_xlfn.IFS([1]!DATA[[#This Row],[TYPE]]="Normal",[1]!DATA[[#This Row],[STORAGE DAYS]]*13,[1]!DATA[[#This Row],[TYPE]]="VIP",[1]!DATA[[#This Row],[STORAGE DAYS]]*20)</f>
        <v>390</v>
      </c>
      <c r="R3" s="11" t="str">
        <f>IF(ISBLANK([1]!DATA[[#This Row],[COLDROOM RECEIPT]]),"IN CUSTODY","DISCHARGED")</f>
        <v>DISCHARGED</v>
      </c>
    </row>
    <row r="4" spans="1:18" ht="21">
      <c r="A4" s="1" t="s">
        <v>14</v>
      </c>
      <c r="B4" s="2" t="s">
        <v>15</v>
      </c>
      <c r="C4" s="2">
        <v>64</v>
      </c>
      <c r="D4" s="3" t="s">
        <v>16</v>
      </c>
      <c r="E4" s="3" t="s">
        <v>17</v>
      </c>
      <c r="F4" s="4">
        <v>248465456</v>
      </c>
      <c r="G4" s="3" t="s">
        <v>18</v>
      </c>
      <c r="H4" s="5">
        <v>0.40347222222222223</v>
      </c>
      <c r="I4" s="3" t="s">
        <v>2</v>
      </c>
      <c r="J4" s="6">
        <v>45513</v>
      </c>
      <c r="K4" s="6">
        <v>45555</v>
      </c>
      <c r="L4" s="2">
        <f>IF(ISBLANK([1]!DATA[[#This Row],[DISCHARGE DATE]]),"NO DISCHARGE DATE",[1]!DATA[[#This Row],[DISCHARGE DATE]]-[1]!DATA[[#This Row],[ADMISSION DATE]]+1)</f>
        <v>90</v>
      </c>
      <c r="M4" s="7">
        <v>350</v>
      </c>
      <c r="N4" s="7">
        <v>559</v>
      </c>
      <c r="O4" s="8" t="s">
        <v>19</v>
      </c>
      <c r="P4" s="8" t="s">
        <v>20</v>
      </c>
      <c r="Q4" s="10" cm="1">
        <f t="array" ref="Q4">_xlfn.IFS([1]!DATA[[#This Row],[TYPE]]="Normal",[1]!DATA[[#This Row],[STORAGE DAYS]]*13,[1]!DATA[[#This Row],[TYPE]]="VIP",[1]!DATA[[#This Row],[STORAGE DAYS]]*20)</f>
        <v>1170</v>
      </c>
      <c r="R4" s="11" t="str">
        <f>IF(ISBLANK([1]!DATA[[#This Row],[COLDROOM RECEIPT]]),"IN CUSTODY","DISCHARGED")</f>
        <v>DISCHARGED</v>
      </c>
    </row>
    <row r="5" spans="1:18" ht="21">
      <c r="A5" s="1" t="s">
        <v>21</v>
      </c>
      <c r="B5" s="2" t="s">
        <v>22</v>
      </c>
      <c r="C5" s="2">
        <v>45</v>
      </c>
      <c r="D5" s="3" t="s">
        <v>0</v>
      </c>
      <c r="E5" s="3" t="s">
        <v>23</v>
      </c>
      <c r="F5" s="4">
        <v>554596352</v>
      </c>
      <c r="G5" s="3" t="s">
        <v>1</v>
      </c>
      <c r="H5" s="5">
        <v>0.97916666666666663</v>
      </c>
      <c r="I5" s="3" t="s">
        <v>2</v>
      </c>
      <c r="J5" s="6">
        <v>45519</v>
      </c>
      <c r="K5" s="6">
        <v>45541</v>
      </c>
      <c r="L5" s="2">
        <f>IF(ISBLANK([1]!DATA[[#This Row],[DISCHARGE DATE]]),"NO DISCHARGE DATE",[1]!DATA[[#This Row],[DISCHARGE DATE]]-[1]!DATA[[#This Row],[ADMISSION DATE]]+1)</f>
        <v>43</v>
      </c>
      <c r="M5" s="7">
        <v>350</v>
      </c>
      <c r="N5" s="7">
        <v>299</v>
      </c>
      <c r="O5" s="8" t="s">
        <v>20</v>
      </c>
      <c r="P5" s="8" t="s">
        <v>19</v>
      </c>
      <c r="Q5" s="10" cm="1">
        <f t="array" ref="Q5">_xlfn.IFS([1]!DATA[[#This Row],[TYPE]]="Normal",[1]!DATA[[#This Row],[STORAGE DAYS]]*13,[1]!DATA[[#This Row],[TYPE]]="VIP",[1]!DATA[[#This Row],[STORAGE DAYS]]*20)</f>
        <v>559</v>
      </c>
      <c r="R5" s="11" t="str">
        <f>IF(ISBLANK([1]!DATA[[#This Row],[COLDROOM RECEIPT]]),"IN CUSTODY","DISCHARGED")</f>
        <v>DISCHARGED</v>
      </c>
    </row>
    <row r="6" spans="1:18" ht="21">
      <c r="A6" s="1" t="s">
        <v>24</v>
      </c>
      <c r="B6" s="2" t="s">
        <v>25</v>
      </c>
      <c r="C6" s="2">
        <v>85</v>
      </c>
      <c r="D6" s="3" t="s">
        <v>0</v>
      </c>
      <c r="E6" s="3" t="s">
        <v>26</v>
      </c>
      <c r="F6" s="4">
        <v>247194693</v>
      </c>
      <c r="G6" s="3" t="s">
        <v>1</v>
      </c>
      <c r="H6" s="5">
        <v>0.3125</v>
      </c>
      <c r="I6" s="3" t="s">
        <v>2</v>
      </c>
      <c r="J6" s="6">
        <v>45520</v>
      </c>
      <c r="K6" s="6">
        <v>45543</v>
      </c>
      <c r="L6" s="2">
        <f>IF(ISBLANK([1]!DATA[[#This Row],[DISCHARGE DATE]]),"NO DISCHARGE DATE",[1]!DATA[[#This Row],[DISCHARGE DATE]]-[1]!DATA[[#This Row],[ADMISSION DATE]]+1)</f>
        <v>23</v>
      </c>
      <c r="M6" s="7">
        <v>350</v>
      </c>
      <c r="N6" s="7">
        <v>1105</v>
      </c>
      <c r="O6" s="8" t="s">
        <v>27</v>
      </c>
      <c r="P6" s="8" t="s">
        <v>28</v>
      </c>
      <c r="Q6" s="10" cm="1">
        <f t="array" ref="Q6">_xlfn.IFS([1]!DATA[[#This Row],[TYPE]]="Normal",[1]!DATA[[#This Row],[STORAGE DAYS]]*13,[1]!DATA[[#This Row],[TYPE]]="VIP",[1]!DATA[[#This Row],[STORAGE DAYS]]*20)</f>
        <v>299</v>
      </c>
      <c r="R6" s="11" t="str">
        <f>IF(ISBLANK([1]!DATA[[#This Row],[COLDROOM RECEIPT]]),"IN CUSTODY","DISCHARGED")</f>
        <v>DISCHARGED</v>
      </c>
    </row>
    <row r="7" spans="1:18" ht="21">
      <c r="A7" s="1" t="s">
        <v>29</v>
      </c>
      <c r="B7" s="2" t="s">
        <v>30</v>
      </c>
      <c r="C7" s="2">
        <v>61</v>
      </c>
      <c r="D7" s="3" t="s">
        <v>0</v>
      </c>
      <c r="E7" s="3" t="s">
        <v>31</v>
      </c>
      <c r="F7" s="4">
        <v>557518754</v>
      </c>
      <c r="G7" s="3" t="s">
        <v>11</v>
      </c>
      <c r="H7" s="5">
        <v>0.5</v>
      </c>
      <c r="I7" s="3" t="s">
        <v>2</v>
      </c>
      <c r="J7" s="6">
        <v>45520</v>
      </c>
      <c r="K7" s="6">
        <v>45625</v>
      </c>
      <c r="L7" s="2">
        <f>IF(ISBLANK([1]!DATA[[#This Row],[DISCHARGE DATE]]),"NO DISCHARGE DATE",[1]!DATA[[#This Row],[DISCHARGE DATE]]-[1]!DATA[[#This Row],[ADMISSION DATE]]+1)</f>
        <v>24</v>
      </c>
      <c r="M7" s="7">
        <v>350</v>
      </c>
      <c r="N7" s="7">
        <v>1378</v>
      </c>
      <c r="O7" s="8" t="s">
        <v>32</v>
      </c>
      <c r="P7" s="8" t="s">
        <v>33</v>
      </c>
      <c r="Q7" s="10" cm="1">
        <f t="array" ref="Q7">_xlfn.IFS([1]!DATA[[#This Row],[TYPE]]="Normal",[1]!DATA[[#This Row],[STORAGE DAYS]]*13,[1]!DATA[[#This Row],[TYPE]]="VIP",[1]!DATA[[#This Row],[STORAGE DAYS]]*20)</f>
        <v>312</v>
      </c>
      <c r="R7" s="11" t="str">
        <f>IF(ISBLANK([1]!DATA[[#This Row],[COLDROOM RECEIPT]]),"IN CUSTODY","DISCHARGED")</f>
        <v>DISCHARGED</v>
      </c>
    </row>
    <row r="8" spans="1:18" ht="21">
      <c r="A8" s="1" t="s">
        <v>34</v>
      </c>
      <c r="B8" s="2" t="s">
        <v>35</v>
      </c>
      <c r="C8" s="2">
        <v>36</v>
      </c>
      <c r="D8" s="3" t="s">
        <v>16</v>
      </c>
      <c r="E8" s="3" t="s">
        <v>36</v>
      </c>
      <c r="F8" s="4">
        <v>247916087</v>
      </c>
      <c r="G8" s="3" t="s">
        <v>1</v>
      </c>
      <c r="H8" s="5">
        <v>0.33263888888888887</v>
      </c>
      <c r="I8" s="3" t="s">
        <v>2</v>
      </c>
      <c r="J8" s="6">
        <v>45522</v>
      </c>
      <c r="K8" s="6">
        <v>45535</v>
      </c>
      <c r="L8" s="2">
        <f>IF(ISBLANK([1]!DATA[[#This Row],[DISCHARGE DATE]]),"NO DISCHARGE DATE",[1]!DATA[[#This Row],[DISCHARGE DATE]]-[1]!DATA[[#This Row],[ADMISSION DATE]]+1)</f>
        <v>106</v>
      </c>
      <c r="M8" s="7">
        <v>350</v>
      </c>
      <c r="N8" s="7">
        <v>182</v>
      </c>
      <c r="O8" s="8" t="s">
        <v>37</v>
      </c>
      <c r="P8" s="8" t="s">
        <v>12</v>
      </c>
      <c r="Q8" s="10" cm="1">
        <f t="array" ref="Q8">_xlfn.IFS([1]!DATA[[#This Row],[TYPE]]="Normal",[1]!DATA[[#This Row],[STORAGE DAYS]]*13,[1]!DATA[[#This Row],[TYPE]]="VIP",[1]!DATA[[#This Row],[STORAGE DAYS]]*20)</f>
        <v>1378</v>
      </c>
      <c r="R8" s="11" t="str">
        <f>IF(ISBLANK([1]!DATA[[#This Row],[COLDROOM RECEIPT]]),"IN CUSTODY","DISCHARGED")</f>
        <v>DISCHARGED</v>
      </c>
    </row>
    <row r="9" spans="1:18" ht="21">
      <c r="A9" s="1" t="s">
        <v>38</v>
      </c>
      <c r="B9" s="2" t="s">
        <v>39</v>
      </c>
      <c r="C9" s="2">
        <v>82</v>
      </c>
      <c r="D9" s="3" t="s">
        <v>0</v>
      </c>
      <c r="E9" s="3" t="s">
        <v>40</v>
      </c>
      <c r="F9" s="4">
        <v>241282104</v>
      </c>
      <c r="G9" s="3" t="s">
        <v>11</v>
      </c>
      <c r="H9" s="5">
        <v>0.23958333333333334</v>
      </c>
      <c r="I9" s="3" t="s">
        <v>2</v>
      </c>
      <c r="J9" s="6">
        <v>45524</v>
      </c>
      <c r="K9" s="6">
        <v>45723</v>
      </c>
      <c r="L9" s="2">
        <f>IF(ISBLANK([1]!DATA[[#This Row],[DISCHARGE DATE]]),"NO DISCHARGE DATE",[1]!DATA[[#This Row],[DISCHARGE DATE]]-[1]!DATA[[#This Row],[ADMISSION DATE]]+1)</f>
        <v>14</v>
      </c>
      <c r="M9" s="7">
        <v>350</v>
      </c>
      <c r="N9" s="7">
        <v>2600</v>
      </c>
      <c r="O9" s="8" t="s">
        <v>41</v>
      </c>
      <c r="P9" s="8" t="s">
        <v>42</v>
      </c>
      <c r="Q9" s="10" cm="1">
        <f t="array" ref="Q9">_xlfn.IFS([1]!DATA[[#This Row],[TYPE]]="Normal",[1]!DATA[[#This Row],[STORAGE DAYS]]*13,[1]!DATA[[#This Row],[TYPE]]="VIP",[1]!DATA[[#This Row],[STORAGE DAYS]]*20)</f>
        <v>182</v>
      </c>
      <c r="R9" s="11" t="str">
        <f>IF(ISBLANK([1]!DATA[[#This Row],[COLDROOM RECEIPT]]),"IN CUSTODY","DISCHARGED")</f>
        <v>DISCHARGED</v>
      </c>
    </row>
    <row r="10" spans="1:18" ht="21">
      <c r="A10" s="1" t="s">
        <v>43</v>
      </c>
      <c r="B10" s="2" t="s">
        <v>44</v>
      </c>
      <c r="C10" s="2">
        <v>86</v>
      </c>
      <c r="D10" s="3" t="s">
        <v>0</v>
      </c>
      <c r="E10" s="3" t="s">
        <v>45</v>
      </c>
      <c r="F10" s="4">
        <v>241406611</v>
      </c>
      <c r="G10" s="3" t="s">
        <v>1</v>
      </c>
      <c r="H10" s="5">
        <v>0.53125</v>
      </c>
      <c r="I10" s="3" t="s">
        <v>2</v>
      </c>
      <c r="J10" s="6">
        <v>45529</v>
      </c>
      <c r="K10" s="6">
        <v>45625</v>
      </c>
      <c r="L10" s="2">
        <f>IF(ISBLANK([1]!DATA[[#This Row],[DISCHARGE DATE]]),"NO DISCHARGE DATE",[1]!DATA[[#This Row],[DISCHARGE DATE]]-[1]!DATA[[#This Row],[ADMISSION DATE]]+1)</f>
        <v>200</v>
      </c>
      <c r="M10" s="7">
        <v>350</v>
      </c>
      <c r="N10" s="7">
        <v>1261</v>
      </c>
      <c r="O10" s="8" t="s">
        <v>46</v>
      </c>
      <c r="P10" s="8" t="s">
        <v>47</v>
      </c>
      <c r="Q10" s="10" cm="1">
        <f t="array" ref="Q10">_xlfn.IFS([1]!DATA[[#This Row],[TYPE]]="Normal",[1]!DATA[[#This Row],[STORAGE DAYS]]*13,[1]!DATA[[#This Row],[TYPE]]="VIP",[1]!DATA[[#This Row],[STORAGE DAYS]]*20)</f>
        <v>2600</v>
      </c>
      <c r="R10" s="11" t="str">
        <f>IF(ISBLANK([1]!DATA[[#This Row],[COLDROOM RECEIPT]]),"IN CUSTODY","DISCHARGED")</f>
        <v>DISCHARGED</v>
      </c>
    </row>
    <row r="11" spans="1:18" ht="21">
      <c r="A11" s="1" t="s">
        <v>48</v>
      </c>
      <c r="B11" s="2" t="s">
        <v>49</v>
      </c>
      <c r="C11" s="2">
        <v>67</v>
      </c>
      <c r="D11" s="3" t="s">
        <v>16</v>
      </c>
      <c r="E11" s="3" t="s">
        <v>50</v>
      </c>
      <c r="F11" s="4">
        <v>247422898</v>
      </c>
      <c r="G11" s="3" t="s">
        <v>1</v>
      </c>
      <c r="H11" s="5">
        <v>0.61944444444444446</v>
      </c>
      <c r="I11" s="3" t="s">
        <v>2</v>
      </c>
      <c r="J11" s="6">
        <v>45532</v>
      </c>
      <c r="K11" s="6">
        <v>45744</v>
      </c>
      <c r="L11" s="2">
        <f>IF(ISBLANK([1]!DATA[[#This Row],[DISCHARGE DATE]]),"NO DISCHARGE DATE",[1]!DATA[[#This Row],[DISCHARGE DATE]]-[1]!DATA[[#This Row],[ADMISSION DATE]]+1)</f>
        <v>97</v>
      </c>
      <c r="M11" s="7">
        <v>350</v>
      </c>
      <c r="N11" s="7">
        <v>2769</v>
      </c>
      <c r="O11" s="8" t="s">
        <v>51</v>
      </c>
      <c r="P11" s="8" t="s">
        <v>52</v>
      </c>
      <c r="Q11" s="10" cm="1">
        <f t="array" ref="Q11">_xlfn.IFS([1]!DATA[[#This Row],[TYPE]]="Normal",[1]!DATA[[#This Row],[STORAGE DAYS]]*13,[1]!DATA[[#This Row],[TYPE]]="VIP",[1]!DATA[[#This Row],[STORAGE DAYS]]*20)</f>
        <v>1261</v>
      </c>
      <c r="R11" s="11" t="str">
        <f>IF(ISBLANK([1]!DATA[[#This Row],[COLDROOM RECEIPT]]),"IN CUSTODY","DISCHARGED")</f>
        <v>DISCHARGED</v>
      </c>
    </row>
    <row r="12" spans="1:18" ht="21">
      <c r="A12" s="1" t="s">
        <v>53</v>
      </c>
      <c r="B12" s="2" t="s">
        <v>54</v>
      </c>
      <c r="C12" s="2">
        <v>60</v>
      </c>
      <c r="D12" s="3" t="s">
        <v>16</v>
      </c>
      <c r="E12" s="3" t="s">
        <v>55</v>
      </c>
      <c r="F12" s="4">
        <v>244658173</v>
      </c>
      <c r="G12" s="3" t="s">
        <v>11</v>
      </c>
      <c r="H12" s="5">
        <v>0.89930555555555558</v>
      </c>
      <c r="I12" s="3" t="s">
        <v>2</v>
      </c>
      <c r="J12" s="6">
        <v>45532</v>
      </c>
      <c r="K12" s="6">
        <v>45772</v>
      </c>
      <c r="L12" s="2">
        <f>IF(ISBLANK([1]!DATA[[#This Row],[DISCHARGE DATE]]),"NO DISCHARGE DATE",[1]!DATA[[#This Row],[DISCHARGE DATE]]-[1]!DATA[[#This Row],[ADMISSION DATE]]+1)</f>
        <v>213</v>
      </c>
      <c r="M12" s="7">
        <v>350</v>
      </c>
      <c r="N12" s="7">
        <v>3133</v>
      </c>
      <c r="O12" s="8" t="s">
        <v>13</v>
      </c>
      <c r="P12" s="8" t="s">
        <v>56</v>
      </c>
      <c r="Q12" s="10" cm="1">
        <f t="array" ref="Q12">_xlfn.IFS([1]!DATA[[#This Row],[TYPE]]="Normal",[1]!DATA[[#This Row],[STORAGE DAYS]]*13,[1]!DATA[[#This Row],[TYPE]]="VIP",[1]!DATA[[#This Row],[STORAGE DAYS]]*20)</f>
        <v>2769</v>
      </c>
      <c r="R12" s="11" t="str">
        <f>IF(ISBLANK([1]!DATA[[#This Row],[COLDROOM RECEIPT]]),"IN CUSTODY","DISCHARGED")</f>
        <v>DISCHARGED</v>
      </c>
    </row>
    <row r="13" spans="1:18" ht="21">
      <c r="A13" s="1" t="s">
        <v>57</v>
      </c>
      <c r="B13" s="2" t="s">
        <v>58</v>
      </c>
      <c r="C13" s="2">
        <v>66</v>
      </c>
      <c r="D13" s="3" t="s">
        <v>0</v>
      </c>
      <c r="E13" s="3" t="s">
        <v>59</v>
      </c>
      <c r="F13" s="4">
        <v>537288927</v>
      </c>
      <c r="G13" s="3" t="s">
        <v>1</v>
      </c>
      <c r="H13" s="5">
        <v>0.61458333333333337</v>
      </c>
      <c r="I13" s="3" t="s">
        <v>2</v>
      </c>
      <c r="J13" s="6">
        <v>45534</v>
      </c>
      <c r="K13" s="6">
        <v>45597</v>
      </c>
      <c r="L13" s="2">
        <f>IF(ISBLANK([1]!DATA[[#This Row],[DISCHARGE DATE]]),"NO DISCHARGE DATE",[1]!DATA[[#This Row],[DISCHARGE DATE]]-[1]!DATA[[#This Row],[ADMISSION DATE]]+1)</f>
        <v>241</v>
      </c>
      <c r="M13" s="7">
        <v>350</v>
      </c>
      <c r="N13" s="7">
        <v>832</v>
      </c>
      <c r="O13" s="8" t="s">
        <v>60</v>
      </c>
      <c r="P13" s="8" t="s">
        <v>60</v>
      </c>
      <c r="Q13" s="10" cm="1">
        <f t="array" ref="Q13">_xlfn.IFS([1]!DATA[[#This Row],[TYPE]]="Normal",[1]!DATA[[#This Row],[STORAGE DAYS]]*13,[1]!DATA[[#This Row],[TYPE]]="VIP",[1]!DATA[[#This Row],[STORAGE DAYS]]*20)</f>
        <v>3133</v>
      </c>
      <c r="R13" s="11" t="str">
        <f>IF(ISBLANK([1]!DATA[[#This Row],[COLDROOM RECEIPT]]),"IN CUSTODY","DISCHARGED")</f>
        <v>DISCHARGED</v>
      </c>
    </row>
    <row r="14" spans="1:18" ht="21">
      <c r="A14" s="1" t="s">
        <v>61</v>
      </c>
      <c r="B14" s="2" t="s">
        <v>62</v>
      </c>
      <c r="C14" s="2">
        <v>56</v>
      </c>
      <c r="D14" s="3" t="s">
        <v>0</v>
      </c>
      <c r="E14" s="3" t="s">
        <v>63</v>
      </c>
      <c r="F14" s="4">
        <v>249016355</v>
      </c>
      <c r="G14" s="3" t="s">
        <v>64</v>
      </c>
      <c r="H14" s="5">
        <v>0.43055555555555558</v>
      </c>
      <c r="I14" s="3" t="s">
        <v>2</v>
      </c>
      <c r="J14" s="6">
        <v>45536</v>
      </c>
      <c r="K14" s="6">
        <v>45625</v>
      </c>
      <c r="L14" s="2">
        <f>IF(ISBLANK([1]!DATA[[#This Row],[DISCHARGE DATE]]),"NO DISCHARGE DATE",[1]!DATA[[#This Row],[DISCHARGE DATE]]-[1]!DATA[[#This Row],[ADMISSION DATE]]+1)</f>
        <v>64</v>
      </c>
      <c r="M14" s="7">
        <v>350</v>
      </c>
      <c r="N14" s="7">
        <v>1170</v>
      </c>
      <c r="O14" s="8" t="s">
        <v>28</v>
      </c>
      <c r="P14" s="8" t="s">
        <v>65</v>
      </c>
      <c r="Q14" s="10" cm="1">
        <f t="array" ref="Q14">_xlfn.IFS([1]!DATA[[#This Row],[TYPE]]="Normal",[1]!DATA[[#This Row],[STORAGE DAYS]]*13,[1]!DATA[[#This Row],[TYPE]]="VIP",[1]!DATA[[#This Row],[STORAGE DAYS]]*20)</f>
        <v>832</v>
      </c>
      <c r="R14" s="11" t="str">
        <f>IF(ISBLANK([1]!DATA[[#This Row],[COLDROOM RECEIPT]]),"IN CUSTODY","DISCHARGED")</f>
        <v>DISCHARGED</v>
      </c>
    </row>
    <row r="15" spans="1:18" ht="21">
      <c r="A15" s="1" t="s">
        <v>66</v>
      </c>
      <c r="B15" s="2" t="s">
        <v>67</v>
      </c>
      <c r="C15" s="2">
        <v>45</v>
      </c>
      <c r="D15" s="3" t="s">
        <v>0</v>
      </c>
      <c r="E15" s="3" t="s">
        <v>68</v>
      </c>
      <c r="F15" s="4">
        <v>538512798</v>
      </c>
      <c r="G15" s="3" t="s">
        <v>18</v>
      </c>
      <c r="H15" s="5">
        <v>0.73611111111111116</v>
      </c>
      <c r="I15" s="3" t="s">
        <v>2</v>
      </c>
      <c r="J15" s="6">
        <v>45538</v>
      </c>
      <c r="K15" s="6">
        <v>45744</v>
      </c>
      <c r="L15" s="2">
        <f>IF(ISBLANK([1]!DATA[[#This Row],[DISCHARGE DATE]]),"NO DISCHARGE DATE",[1]!DATA[[#This Row],[DISCHARGE DATE]]-[1]!DATA[[#This Row],[ADMISSION DATE]]+1)</f>
        <v>90</v>
      </c>
      <c r="M15" s="7">
        <v>350</v>
      </c>
      <c r="N15" s="7">
        <v>2691</v>
      </c>
      <c r="O15" s="8" t="s">
        <v>69</v>
      </c>
      <c r="P15" s="8" t="s">
        <v>70</v>
      </c>
      <c r="Q15" s="10" cm="1">
        <f t="array" ref="Q15">_xlfn.IFS([1]!DATA[[#This Row],[TYPE]]="Normal",[1]!DATA[[#This Row],[STORAGE DAYS]]*13,[1]!DATA[[#This Row],[TYPE]]="VIP",[1]!DATA[[#This Row],[STORAGE DAYS]]*20)</f>
        <v>1170</v>
      </c>
      <c r="R15" s="11" t="str">
        <f>IF(ISBLANK([1]!DATA[[#This Row],[COLDROOM RECEIPT]]),"IN CUSTODY","DISCHARGED")</f>
        <v>DISCHARGED</v>
      </c>
    </row>
    <row r="16" spans="1:18" ht="21">
      <c r="A16" s="1" t="s">
        <v>71</v>
      </c>
      <c r="B16" s="2" t="s">
        <v>72</v>
      </c>
      <c r="C16" s="2">
        <v>31</v>
      </c>
      <c r="D16" s="3" t="s">
        <v>0</v>
      </c>
      <c r="E16" s="3" t="s">
        <v>73</v>
      </c>
      <c r="F16" s="4">
        <v>541731399</v>
      </c>
      <c r="G16" s="3" t="s">
        <v>1</v>
      </c>
      <c r="H16" s="5">
        <v>0.61250000000000004</v>
      </c>
      <c r="I16" s="3" t="s">
        <v>2</v>
      </c>
      <c r="J16" s="6">
        <v>45539</v>
      </c>
      <c r="K16" s="6">
        <v>45625</v>
      </c>
      <c r="L16" s="2">
        <f>IF(ISBLANK([1]!DATA[[#This Row],[DISCHARGE DATE]]),"NO DISCHARGE DATE",[1]!DATA[[#This Row],[DISCHARGE DATE]]-[1]!DATA[[#This Row],[ADMISSION DATE]]+1)</f>
        <v>207</v>
      </c>
      <c r="M16" s="7">
        <v>350</v>
      </c>
      <c r="N16" s="7">
        <v>1131</v>
      </c>
      <c r="O16" s="8" t="s">
        <v>74</v>
      </c>
      <c r="P16" s="8" t="s">
        <v>75</v>
      </c>
      <c r="Q16" s="10" cm="1">
        <f t="array" ref="Q16">_xlfn.IFS([1]!DATA[[#This Row],[TYPE]]="Normal",[1]!DATA[[#This Row],[STORAGE DAYS]]*13,[1]!DATA[[#This Row],[TYPE]]="VIP",[1]!DATA[[#This Row],[STORAGE DAYS]]*20)</f>
        <v>2691</v>
      </c>
      <c r="R16" s="11" t="str">
        <f>IF(ISBLANK([1]!DATA[[#This Row],[COLDROOM RECEIPT]]),"IN CUSTODY","DISCHARGED")</f>
        <v>DISCHARGED</v>
      </c>
    </row>
    <row r="17" spans="1:18" ht="21">
      <c r="A17" s="1" t="s">
        <v>76</v>
      </c>
      <c r="B17" s="2" t="s">
        <v>77</v>
      </c>
      <c r="C17" s="2">
        <v>37</v>
      </c>
      <c r="D17" s="3" t="s">
        <v>0</v>
      </c>
      <c r="E17" s="3" t="s">
        <v>78</v>
      </c>
      <c r="F17" s="4">
        <v>242348436</v>
      </c>
      <c r="G17" s="3" t="s">
        <v>1</v>
      </c>
      <c r="H17" s="5">
        <v>0.72916666666666663</v>
      </c>
      <c r="I17" s="3" t="s">
        <v>2</v>
      </c>
      <c r="J17" s="6">
        <v>45537</v>
      </c>
      <c r="K17" s="6">
        <v>45597</v>
      </c>
      <c r="L17" s="2">
        <f>IF(ISBLANK([1]!DATA[[#This Row],[DISCHARGE DATE]]),"NO DISCHARGE DATE",[1]!DATA[[#This Row],[DISCHARGE DATE]]-[1]!DATA[[#This Row],[ADMISSION DATE]]+1)</f>
        <v>87</v>
      </c>
      <c r="M17" s="7">
        <v>350</v>
      </c>
      <c r="N17" s="7">
        <v>793</v>
      </c>
      <c r="O17" s="8" t="s">
        <v>75</v>
      </c>
      <c r="P17" s="8" t="s">
        <v>41</v>
      </c>
      <c r="Q17" s="10" cm="1">
        <f t="array" ref="Q17">_xlfn.IFS([1]!DATA[[#This Row],[TYPE]]="Normal",[1]!DATA[[#This Row],[STORAGE DAYS]]*13,[1]!DATA[[#This Row],[TYPE]]="VIP",[1]!DATA[[#This Row],[STORAGE DAYS]]*20)</f>
        <v>1131</v>
      </c>
      <c r="R17" s="11" t="str">
        <f>IF(ISBLANK([1]!DATA[[#This Row],[COLDROOM RECEIPT]]),"IN CUSTODY","DISCHARGED")</f>
        <v>DISCHARGED</v>
      </c>
    </row>
    <row r="18" spans="1:18" ht="21">
      <c r="A18" s="1" t="s">
        <v>79</v>
      </c>
      <c r="B18" s="2" t="s">
        <v>80</v>
      </c>
      <c r="C18" s="2">
        <v>78</v>
      </c>
      <c r="D18" s="3" t="s">
        <v>0</v>
      </c>
      <c r="E18" s="3" t="s">
        <v>81</v>
      </c>
      <c r="F18" s="4">
        <v>242089665</v>
      </c>
      <c r="G18" s="3" t="s">
        <v>1</v>
      </c>
      <c r="H18" s="5">
        <v>0.41666666666666669</v>
      </c>
      <c r="I18" s="3" t="s">
        <v>2</v>
      </c>
      <c r="J18" s="6">
        <v>45543</v>
      </c>
      <c r="K18" s="6">
        <v>45597</v>
      </c>
      <c r="L18" s="2">
        <f>IF(ISBLANK([1]!DATA[[#This Row],[DISCHARGE DATE]]),"NO DISCHARGE DATE",[1]!DATA[[#This Row],[DISCHARGE DATE]]-[1]!DATA[[#This Row],[ADMISSION DATE]]+1)</f>
        <v>61</v>
      </c>
      <c r="M18" s="7">
        <v>350</v>
      </c>
      <c r="N18" s="7">
        <v>715</v>
      </c>
      <c r="O18" s="8" t="s">
        <v>65</v>
      </c>
      <c r="P18" s="8" t="s">
        <v>32</v>
      </c>
      <c r="Q18" s="10" cm="1">
        <f t="array" ref="Q18">_xlfn.IFS([1]!DATA[[#This Row],[TYPE]]="Normal",[1]!DATA[[#This Row],[STORAGE DAYS]]*13,[1]!DATA[[#This Row],[TYPE]]="VIP",[1]!DATA[[#This Row],[STORAGE DAYS]]*20)</f>
        <v>793</v>
      </c>
      <c r="R18" s="11" t="str">
        <f>IF(ISBLANK([1]!DATA[[#This Row],[COLDROOM RECEIPT]]),"IN CUSTODY","DISCHARGED")</f>
        <v>DISCHARGED</v>
      </c>
    </row>
    <row r="19" spans="1:18" ht="21">
      <c r="A19" s="1" t="s">
        <v>82</v>
      </c>
      <c r="B19" s="2" t="s">
        <v>83</v>
      </c>
      <c r="C19" s="2">
        <v>75</v>
      </c>
      <c r="D19" s="3" t="s">
        <v>16</v>
      </c>
      <c r="E19" s="3" t="s">
        <v>84</v>
      </c>
      <c r="F19" s="4">
        <v>243672593</v>
      </c>
      <c r="G19" s="3" t="s">
        <v>1</v>
      </c>
      <c r="H19" s="5">
        <v>0.6875</v>
      </c>
      <c r="I19" s="3" t="s">
        <v>2</v>
      </c>
      <c r="J19" s="6">
        <v>45543</v>
      </c>
      <c r="K19" s="6">
        <v>45772</v>
      </c>
      <c r="L19" s="2">
        <f>IF(ISBLANK([1]!DATA[[#This Row],[DISCHARGE DATE]]),"NO DISCHARGE DATE",[1]!DATA[[#This Row],[DISCHARGE DATE]]-[1]!DATA[[#This Row],[ADMISSION DATE]]+1)</f>
        <v>55</v>
      </c>
      <c r="M19" s="7">
        <v>350</v>
      </c>
      <c r="N19" s="7">
        <v>2990</v>
      </c>
      <c r="O19" s="8" t="s">
        <v>47</v>
      </c>
      <c r="P19" s="8" t="s">
        <v>85</v>
      </c>
      <c r="Q19" s="10" cm="1">
        <f t="array" ref="Q19">_xlfn.IFS([1]!DATA[[#This Row],[TYPE]]="Normal",[1]!DATA[[#This Row],[STORAGE DAYS]]*13,[1]!DATA[[#This Row],[TYPE]]="VIP",[1]!DATA[[#This Row],[STORAGE DAYS]]*20)</f>
        <v>715</v>
      </c>
      <c r="R19" s="11" t="str">
        <f>IF(ISBLANK([1]!DATA[[#This Row],[COLDROOM RECEIPT]]),"IN CUSTODY","DISCHARGED")</f>
        <v>DISCHARGED</v>
      </c>
    </row>
    <row r="20" spans="1:18" ht="21">
      <c r="A20" s="1" t="s">
        <v>86</v>
      </c>
      <c r="B20" s="2" t="s">
        <v>87</v>
      </c>
      <c r="C20" s="2">
        <v>77</v>
      </c>
      <c r="D20" s="3" t="s">
        <v>0</v>
      </c>
      <c r="E20" s="3" t="s">
        <v>88</v>
      </c>
      <c r="F20" s="4">
        <v>243919853</v>
      </c>
      <c r="G20" s="3" t="s">
        <v>1</v>
      </c>
      <c r="H20" s="5">
        <v>0.27083333333333331</v>
      </c>
      <c r="I20" s="3" t="s">
        <v>2</v>
      </c>
      <c r="J20" s="6">
        <v>45545</v>
      </c>
      <c r="K20" s="6">
        <v>45807</v>
      </c>
      <c r="L20" s="2">
        <f>IF(ISBLANK([1]!DATA[[#This Row],[DISCHARGE DATE]]),"NO DISCHARGE DATE",[1]!DATA[[#This Row],[DISCHARGE DATE]]-[1]!DATA[[#This Row],[ADMISSION DATE]]+1)</f>
        <v>230</v>
      </c>
      <c r="M20" s="7">
        <v>350</v>
      </c>
      <c r="N20" s="7">
        <v>3016</v>
      </c>
      <c r="O20" s="8" t="s">
        <v>89</v>
      </c>
      <c r="P20" s="8" t="s">
        <v>90</v>
      </c>
      <c r="Q20" s="10" cm="1">
        <f t="array" ref="Q20">_xlfn.IFS([1]!DATA[[#This Row],[TYPE]]="Normal",[1]!DATA[[#This Row],[STORAGE DAYS]]*13,[1]!DATA[[#This Row],[TYPE]]="VIP",[1]!DATA[[#This Row],[STORAGE DAYS]]*20)</f>
        <v>2990</v>
      </c>
      <c r="R20" s="11" t="str">
        <f>IF(ISBLANK([1]!DATA[[#This Row],[COLDROOM RECEIPT]]),"IN CUSTODY","DISCHARGED")</f>
        <v>DISCHARGED</v>
      </c>
    </row>
    <row r="21" spans="1:18" ht="19.8">
      <c r="A21" s="1" t="s">
        <v>91</v>
      </c>
      <c r="B21" s="2" t="s">
        <v>92</v>
      </c>
      <c r="C21" s="2">
        <v>45</v>
      </c>
      <c r="D21" s="3" t="s">
        <v>16</v>
      </c>
      <c r="E21" s="3" t="s">
        <v>93</v>
      </c>
      <c r="F21" s="4">
        <v>241621310</v>
      </c>
      <c r="G21" s="3" t="s">
        <v>6</v>
      </c>
      <c r="H21" s="5">
        <v>0.83333333333333337</v>
      </c>
      <c r="I21" s="3" t="s">
        <v>2</v>
      </c>
      <c r="J21" s="6">
        <v>45544</v>
      </c>
      <c r="K21" s="6">
        <v>45562</v>
      </c>
      <c r="L21" s="2">
        <f>IF(ISBLANK([1]!DATA[[#This Row],[DISCHARGE DATE]]),"NO DISCHARGE DATE",[1]!DATA[[#This Row],[DISCHARGE DATE]]-[1]!DATA[[#This Row],[ADMISSION DATE]]+1)</f>
        <v>263</v>
      </c>
      <c r="M21" s="7">
        <v>350</v>
      </c>
      <c r="N21" s="7">
        <v>247</v>
      </c>
      <c r="O21" s="8" t="s">
        <v>94</v>
      </c>
      <c r="P21" s="8" t="s">
        <v>27</v>
      </c>
      <c r="Q21" s="10" cm="1">
        <f t="array" ref="Q21">_xlfn.IFS([1]!DATA[[#This Row],[TYPE]]="Normal",[1]!DATA[[#This Row],[STORAGE DAYS]]*13,[1]!DATA[[#This Row],[TYPE]]="VIP",[1]!DATA[[#This Row],[STORAGE DAYS]]*20)</f>
        <v>3419</v>
      </c>
      <c r="R21" s="11" t="str">
        <f>IF(ISBLANK([1]!DATA[[#This Row],[COLDROOM RECEIPT]]),"IN CUSTODY","DISCHARGED")</f>
        <v>DISCHARGED</v>
      </c>
    </row>
    <row r="22" spans="1:18" ht="19.8">
      <c r="A22" s="1" t="s">
        <v>95</v>
      </c>
      <c r="B22" s="2" t="s">
        <v>96</v>
      </c>
      <c r="C22" s="2">
        <v>73</v>
      </c>
      <c r="D22" s="3" t="s">
        <v>0</v>
      </c>
      <c r="E22" s="3" t="s">
        <v>97</v>
      </c>
      <c r="F22" s="4">
        <v>249942477</v>
      </c>
      <c r="G22" s="3" t="s">
        <v>18</v>
      </c>
      <c r="H22" s="5">
        <v>0.89583333333333337</v>
      </c>
      <c r="I22" s="3" t="s">
        <v>2</v>
      </c>
      <c r="J22" s="6">
        <v>45546</v>
      </c>
      <c r="K22" s="6">
        <v>45597</v>
      </c>
      <c r="L22" s="2">
        <f>IF(ISBLANK([1]!DATA[[#This Row],[DISCHARGE DATE]]),"NO DISCHARGE DATE",[1]!DATA[[#This Row],[DISCHARGE DATE]]-[1]!DATA[[#This Row],[ADMISSION DATE]]+1)</f>
        <v>19</v>
      </c>
      <c r="M22" s="7">
        <v>350</v>
      </c>
      <c r="N22" s="7">
        <v>676</v>
      </c>
      <c r="O22" s="8" t="s">
        <v>98</v>
      </c>
      <c r="P22" s="8" t="s">
        <v>46</v>
      </c>
      <c r="Q22" s="10" cm="1">
        <f t="array" ref="Q22">_xlfn.IFS([1]!DATA[[#This Row],[TYPE]]="Normal",[1]!DATA[[#This Row],[STORAGE DAYS]]*13,[1]!DATA[[#This Row],[TYPE]]="VIP",[1]!DATA[[#This Row],[STORAGE DAYS]]*20)</f>
        <v>247</v>
      </c>
      <c r="R22" s="11" t="str">
        <f>IF(ISBLANK([1]!DATA[[#This Row],[COLDROOM RECEIPT]]),"IN CUSTODY","DISCHARGED")</f>
        <v>DISCHARGED</v>
      </c>
    </row>
    <row r="23" spans="1:18" ht="19.8">
      <c r="A23" s="1" t="s">
        <v>99</v>
      </c>
      <c r="B23" s="2" t="s">
        <v>100</v>
      </c>
      <c r="C23" s="2">
        <v>76</v>
      </c>
      <c r="D23" s="3" t="s">
        <v>0</v>
      </c>
      <c r="E23" s="3" t="s">
        <v>101</v>
      </c>
      <c r="F23" s="4">
        <v>547641510</v>
      </c>
      <c r="G23" s="3" t="s">
        <v>1</v>
      </c>
      <c r="H23" s="5">
        <v>0.72916666666666663</v>
      </c>
      <c r="I23" s="3" t="s">
        <v>2</v>
      </c>
      <c r="J23" s="6">
        <v>45546</v>
      </c>
      <c r="K23" s="6">
        <v>45625</v>
      </c>
      <c r="L23" s="2">
        <f>IF(ISBLANK([1]!DATA[[#This Row],[DISCHARGE DATE]]),"NO DISCHARGE DATE",[1]!DATA[[#This Row],[DISCHARGE DATE]]-[1]!DATA[[#This Row],[ADMISSION DATE]]+1)</f>
        <v>52</v>
      </c>
      <c r="M23" s="7">
        <v>350</v>
      </c>
      <c r="N23" s="7">
        <v>1040</v>
      </c>
      <c r="O23" s="8" t="s">
        <v>102</v>
      </c>
      <c r="P23" s="8" t="s">
        <v>94</v>
      </c>
      <c r="Q23" s="10" cm="1">
        <f t="array" ref="Q23">_xlfn.IFS([1]!DATA[[#This Row],[TYPE]]="Normal",[1]!DATA[[#This Row],[STORAGE DAYS]]*13,[1]!DATA[[#This Row],[TYPE]]="VIP",[1]!DATA[[#This Row],[STORAGE DAYS]]*20)</f>
        <v>676</v>
      </c>
      <c r="R23" s="11" t="str">
        <f>IF(ISBLANK([1]!DATA[[#This Row],[COLDROOM RECEIPT]]),"IN CUSTODY","DISCHARGED")</f>
        <v>DISCHARGED</v>
      </c>
    </row>
    <row r="24" spans="1:18" ht="19.8">
      <c r="A24" s="1" t="s">
        <v>103</v>
      </c>
      <c r="B24" s="2" t="s">
        <v>104</v>
      </c>
      <c r="C24" s="2">
        <v>53</v>
      </c>
      <c r="D24" s="3" t="s">
        <v>16</v>
      </c>
      <c r="E24" s="3" t="s">
        <v>105</v>
      </c>
      <c r="F24" s="4">
        <v>243625448</v>
      </c>
      <c r="G24" s="3" t="s">
        <v>1</v>
      </c>
      <c r="H24" s="5">
        <v>0.47222222222222221</v>
      </c>
      <c r="I24" s="3" t="s">
        <v>2</v>
      </c>
      <c r="J24" s="6">
        <v>45552</v>
      </c>
      <c r="K24" s="6">
        <v>45576</v>
      </c>
      <c r="L24" s="2">
        <f>IF(ISBLANK([1]!DATA[[#This Row],[DISCHARGE DATE]]),"NO DISCHARGE DATE",[1]!DATA[[#This Row],[DISCHARGE DATE]]-[1]!DATA[[#This Row],[ADMISSION DATE]]+1)</f>
        <v>80</v>
      </c>
      <c r="M24" s="7">
        <v>350</v>
      </c>
      <c r="N24" s="7">
        <v>325</v>
      </c>
      <c r="O24" s="8" t="s">
        <v>33</v>
      </c>
      <c r="P24" s="8" t="s">
        <v>37</v>
      </c>
      <c r="Q24" s="10" cm="1">
        <f t="array" ref="Q24">_xlfn.IFS([1]!DATA[[#This Row],[TYPE]]="Normal",[1]!DATA[[#This Row],[STORAGE DAYS]]*13,[1]!DATA[[#This Row],[TYPE]]="VIP",[1]!DATA[[#This Row],[STORAGE DAYS]]*20)</f>
        <v>1040</v>
      </c>
      <c r="R24" s="11" t="str">
        <f>IF(ISBLANK([1]!DATA[[#This Row],[COLDROOM RECEIPT]]),"IN CUSTODY","DISCHARGED")</f>
        <v>DISCHARGED</v>
      </c>
    </row>
    <row r="25" spans="1:18" ht="19.8">
      <c r="A25" s="1" t="s">
        <v>106</v>
      </c>
      <c r="B25" s="2" t="s">
        <v>107</v>
      </c>
      <c r="C25" s="2">
        <v>83</v>
      </c>
      <c r="D25" s="3" t="s">
        <v>0</v>
      </c>
      <c r="E25" s="3" t="s">
        <v>108</v>
      </c>
      <c r="F25" s="4">
        <v>553066025</v>
      </c>
      <c r="G25" s="3" t="s">
        <v>1</v>
      </c>
      <c r="H25" s="5">
        <v>0.77083333333333337</v>
      </c>
      <c r="I25" s="3" t="s">
        <v>2</v>
      </c>
      <c r="J25" s="6">
        <v>45552</v>
      </c>
      <c r="K25" s="6">
        <v>45625</v>
      </c>
      <c r="L25" s="2">
        <f>IF(ISBLANK([1]!DATA[[#This Row],[DISCHARGE DATE]]),"NO DISCHARGE DATE",[1]!DATA[[#This Row],[DISCHARGE DATE]]-[1]!DATA[[#This Row],[ADMISSION DATE]]+1)</f>
        <v>25</v>
      </c>
      <c r="M25" s="7">
        <v>350</v>
      </c>
      <c r="N25" s="7">
        <v>962</v>
      </c>
      <c r="O25" s="8" t="s">
        <v>109</v>
      </c>
      <c r="P25" s="8" t="s">
        <v>89</v>
      </c>
      <c r="Q25" s="10" cm="1">
        <f t="array" ref="Q25">_xlfn.IFS([1]!DATA[[#This Row],[TYPE]]="Normal",[1]!DATA[[#This Row],[STORAGE DAYS]]*13,[1]!DATA[[#This Row],[TYPE]]="VIP",[1]!DATA[[#This Row],[STORAGE DAYS]]*20)</f>
        <v>325</v>
      </c>
      <c r="R25" s="11" t="str">
        <f>IF(ISBLANK([1]!DATA[[#This Row],[COLDROOM RECEIPT]]),"IN CUSTODY","DISCHARGED")</f>
        <v>DISCHARGED</v>
      </c>
    </row>
    <row r="26" spans="1:18" ht="19.8">
      <c r="A26" s="1" t="s">
        <v>110</v>
      </c>
      <c r="B26" s="2" t="s">
        <v>111</v>
      </c>
      <c r="C26" s="2">
        <v>35</v>
      </c>
      <c r="D26" s="3" t="s">
        <v>0</v>
      </c>
      <c r="E26" s="3" t="s">
        <v>112</v>
      </c>
      <c r="F26" s="4">
        <v>244127358</v>
      </c>
      <c r="G26" s="3" t="s">
        <v>6</v>
      </c>
      <c r="H26" s="5">
        <v>0.3125</v>
      </c>
      <c r="I26" s="3" t="s">
        <v>2</v>
      </c>
      <c r="J26" s="6">
        <v>45560</v>
      </c>
      <c r="K26" s="6">
        <v>45625</v>
      </c>
      <c r="L26" s="2">
        <f>IF(ISBLANK([1]!DATA[[#This Row],[DISCHARGE DATE]]),"NO DISCHARGE DATE",[1]!DATA[[#This Row],[DISCHARGE DATE]]-[1]!DATA[[#This Row],[ADMISSION DATE]]+1)</f>
        <v>74</v>
      </c>
      <c r="M26" s="7">
        <v>350</v>
      </c>
      <c r="N26" s="7">
        <v>858</v>
      </c>
      <c r="O26" s="8" t="s">
        <v>113</v>
      </c>
      <c r="P26" s="8" t="s">
        <v>102</v>
      </c>
      <c r="Q26" s="10" cm="1">
        <f t="array" ref="Q26">_xlfn.IFS([1]!DATA[[#This Row],[TYPE]]="Normal",[1]!DATA[[#This Row],[STORAGE DAYS]]*13,[1]!DATA[[#This Row],[TYPE]]="VIP",[1]!DATA[[#This Row],[STORAGE DAYS]]*20)</f>
        <v>962</v>
      </c>
      <c r="R26" s="11" t="str">
        <f>IF(ISBLANK([1]!DATA[[#This Row],[COLDROOM RECEIPT]]),"IN CUSTODY","DISCHARGED")</f>
        <v>DISCHARGED</v>
      </c>
    </row>
    <row r="27" spans="1:18" ht="19.8">
      <c r="A27" s="1" t="s">
        <v>114</v>
      </c>
      <c r="B27" s="2" t="s">
        <v>115</v>
      </c>
      <c r="C27" s="2">
        <v>42</v>
      </c>
      <c r="D27" s="3" t="s">
        <v>16</v>
      </c>
      <c r="E27" s="3" t="s">
        <v>116</v>
      </c>
      <c r="F27" s="4">
        <v>551133790</v>
      </c>
      <c r="G27" s="3" t="s">
        <v>1</v>
      </c>
      <c r="H27" s="5">
        <v>0.77083333333333337</v>
      </c>
      <c r="I27" s="3" t="s">
        <v>2</v>
      </c>
      <c r="J27" s="6">
        <v>45560</v>
      </c>
      <c r="K27" s="6">
        <v>45625</v>
      </c>
      <c r="L27" s="2">
        <f>IF(ISBLANK([1]!DATA[[#This Row],[DISCHARGE DATE]]),"NO DISCHARGE DATE",[1]!DATA[[#This Row],[DISCHARGE DATE]]-[1]!DATA[[#This Row],[ADMISSION DATE]]+1)</f>
        <v>66</v>
      </c>
      <c r="M27" s="7">
        <v>350</v>
      </c>
      <c r="N27" s="7">
        <v>858</v>
      </c>
      <c r="O27" s="8" t="s">
        <v>117</v>
      </c>
      <c r="P27" s="8" t="s">
        <v>109</v>
      </c>
      <c r="Q27" s="10" cm="1">
        <f t="array" ref="Q27">_xlfn.IFS([1]!DATA[[#This Row],[TYPE]]="Normal",[1]!DATA[[#This Row],[STORAGE DAYS]]*13,[1]!DATA[[#This Row],[TYPE]]="VIP",[1]!DATA[[#This Row],[STORAGE DAYS]]*20)</f>
        <v>858</v>
      </c>
      <c r="R27" s="11" t="str">
        <f>IF(ISBLANK([1]!DATA[[#This Row],[COLDROOM RECEIPT]]),"IN CUSTODY","DISCHARGED")</f>
        <v>DISCHARGED</v>
      </c>
    </row>
    <row r="28" spans="1:18" ht="19.8">
      <c r="A28" s="1" t="s">
        <v>118</v>
      </c>
      <c r="B28" s="2" t="s">
        <v>119</v>
      </c>
      <c r="C28" s="2">
        <v>49</v>
      </c>
      <c r="D28" s="3" t="s">
        <v>0</v>
      </c>
      <c r="E28" s="3" t="s">
        <v>120</v>
      </c>
      <c r="F28" s="4">
        <v>246930176</v>
      </c>
      <c r="G28" s="3" t="s">
        <v>18</v>
      </c>
      <c r="H28" s="5">
        <v>0.66666666666666663</v>
      </c>
      <c r="I28" s="3" t="s">
        <v>2</v>
      </c>
      <c r="J28" s="6">
        <v>45565</v>
      </c>
      <c r="K28" s="6">
        <v>45625</v>
      </c>
      <c r="L28" s="2">
        <f>IF(ISBLANK([1]!DATA[[#This Row],[DISCHARGE DATE]]),"NO DISCHARGE DATE",[1]!DATA[[#This Row],[DISCHARGE DATE]]-[1]!DATA[[#This Row],[ADMISSION DATE]]+1)</f>
        <v>66</v>
      </c>
      <c r="M28" s="7">
        <v>350</v>
      </c>
      <c r="N28" s="7">
        <v>793</v>
      </c>
      <c r="O28" s="8" t="s">
        <v>121</v>
      </c>
      <c r="P28" s="8" t="s">
        <v>98</v>
      </c>
      <c r="Q28" s="10" cm="1">
        <f t="array" ref="Q28">_xlfn.IFS([1]!DATA[[#This Row],[TYPE]]="Normal",[1]!DATA[[#This Row],[STORAGE DAYS]]*13,[1]!DATA[[#This Row],[TYPE]]="VIP",[1]!DATA[[#This Row],[STORAGE DAYS]]*20)</f>
        <v>858</v>
      </c>
      <c r="R28" s="11" t="str">
        <f>IF(ISBLANK([1]!DATA[[#This Row],[COLDROOM RECEIPT]]),"IN CUSTODY","DISCHARGED")</f>
        <v>DISCHARGED</v>
      </c>
    </row>
    <row r="29" spans="1:18" ht="19.8">
      <c r="A29" s="1" t="s">
        <v>122</v>
      </c>
      <c r="B29" s="2" t="s">
        <v>123</v>
      </c>
      <c r="C29" s="2">
        <v>53</v>
      </c>
      <c r="D29" s="3" t="s">
        <v>0</v>
      </c>
      <c r="E29" s="3" t="s">
        <v>124</v>
      </c>
      <c r="F29" s="4">
        <v>242857647</v>
      </c>
      <c r="G29" s="3" t="s">
        <v>125</v>
      </c>
      <c r="H29" s="5">
        <v>0.46944444444444444</v>
      </c>
      <c r="I29" s="3" t="s">
        <v>2</v>
      </c>
      <c r="J29" s="6">
        <v>45566</v>
      </c>
      <c r="K29" s="6">
        <v>45618</v>
      </c>
      <c r="L29" s="2">
        <f>IF(ISBLANK([1]!DATA[[#This Row],[DISCHARGE DATE]]),"NO DISCHARGE DATE",[1]!DATA[[#This Row],[DISCHARGE DATE]]-[1]!DATA[[#This Row],[ADMISSION DATE]]+1)</f>
        <v>61</v>
      </c>
      <c r="M29" s="7">
        <v>350</v>
      </c>
      <c r="N29" s="7">
        <v>1060</v>
      </c>
      <c r="O29" s="8" t="s">
        <v>126</v>
      </c>
      <c r="P29" s="8" t="s">
        <v>74</v>
      </c>
      <c r="Q29" s="10" cm="1">
        <f t="array" ref="Q29">_xlfn.IFS([1]!DATA[[#This Row],[TYPE]]="Normal",[1]!DATA[[#This Row],[STORAGE DAYS]]*13,[1]!DATA[[#This Row],[TYPE]]="VIP",[1]!DATA[[#This Row],[STORAGE DAYS]]*20)</f>
        <v>793</v>
      </c>
      <c r="R29" s="11" t="str">
        <f>IF(ISBLANK([1]!DATA[[#This Row],[COLDROOM RECEIPT]]),"IN CUSTODY","DISCHARGED")</f>
        <v>DISCHARGED</v>
      </c>
    </row>
    <row r="30" spans="1:18" ht="19.8">
      <c r="A30" s="1" t="s">
        <v>127</v>
      </c>
      <c r="B30" s="2" t="s">
        <v>128</v>
      </c>
      <c r="C30" s="2">
        <v>62</v>
      </c>
      <c r="D30" s="3" t="s">
        <v>16</v>
      </c>
      <c r="E30" s="3" t="s">
        <v>129</v>
      </c>
      <c r="F30" s="4">
        <v>244788073</v>
      </c>
      <c r="G30" s="3" t="s">
        <v>18</v>
      </c>
      <c r="H30" s="5">
        <v>0.61805555555555558</v>
      </c>
      <c r="I30" s="3" t="s">
        <v>2</v>
      </c>
      <c r="J30" s="6">
        <v>45567</v>
      </c>
      <c r="K30" s="6">
        <v>45723</v>
      </c>
      <c r="L30" s="2">
        <f>IF(ISBLANK([1]!DATA[[#This Row],[DISCHARGE DATE]]),"NO DISCHARGE DATE",[1]!DATA[[#This Row],[DISCHARGE DATE]]-[1]!DATA[[#This Row],[ADMISSION DATE]]+1)</f>
        <v>53</v>
      </c>
      <c r="M30" s="7">
        <v>350</v>
      </c>
      <c r="N30" s="7">
        <v>2132</v>
      </c>
      <c r="O30" s="8" t="s">
        <v>130</v>
      </c>
      <c r="P30" s="8" t="s">
        <v>131</v>
      </c>
      <c r="Q30" s="10" cm="1">
        <f t="array" ref="Q30">_xlfn.IFS([1]!DATA[[#This Row],[TYPE]]="Normal",[1]!DATA[[#This Row],[STORAGE DAYS]]*13,[1]!DATA[[#This Row],[TYPE]]="VIP",[1]!DATA[[#This Row],[STORAGE DAYS]]*20)</f>
        <v>689</v>
      </c>
      <c r="R30" s="11" t="str">
        <f>IF(ISBLANK([1]!DATA[[#This Row],[COLDROOM RECEIPT]]),"IN CUSTODY","DISCHARGED")</f>
        <v>DISCHARGED</v>
      </c>
    </row>
    <row r="31" spans="1:18" ht="19.8">
      <c r="A31" s="1" t="s">
        <v>132</v>
      </c>
      <c r="B31" s="2" t="s">
        <v>133</v>
      </c>
      <c r="C31" s="2">
        <v>65</v>
      </c>
      <c r="D31" s="3" t="s">
        <v>0</v>
      </c>
      <c r="E31" s="3" t="s">
        <v>134</v>
      </c>
      <c r="F31" s="4">
        <v>543253088</v>
      </c>
      <c r="G31" s="3" t="s">
        <v>135</v>
      </c>
      <c r="H31" s="5">
        <v>0.72569444444444442</v>
      </c>
      <c r="I31" s="3" t="s">
        <v>2</v>
      </c>
      <c r="J31" s="6">
        <v>45571</v>
      </c>
      <c r="K31" s="6">
        <v>45611</v>
      </c>
      <c r="L31" s="2">
        <f>IF(ISBLANK([1]!DATA[[#This Row],[DISCHARGE DATE]]),"NO DISCHARGE DATE",[1]!DATA[[#This Row],[DISCHARGE DATE]]-[1]!DATA[[#This Row],[ADMISSION DATE]]+1)</f>
        <v>157</v>
      </c>
      <c r="M31" s="7">
        <v>350</v>
      </c>
      <c r="N31" s="7">
        <v>533</v>
      </c>
      <c r="O31" s="8" t="s">
        <v>136</v>
      </c>
      <c r="P31" s="8" t="s">
        <v>69</v>
      </c>
      <c r="Q31" s="10" cm="1">
        <f t="array" ref="Q31">_xlfn.IFS([1]!DATA[[#This Row],[TYPE]]="Normal",[1]!DATA[[#This Row],[STORAGE DAYS]]*13,[1]!DATA[[#This Row],[TYPE]]="VIP",[1]!DATA[[#This Row],[STORAGE DAYS]]*20)</f>
        <v>2041</v>
      </c>
      <c r="R31" s="11" t="str">
        <f>IF(ISBLANK([1]!DATA[[#This Row],[COLDROOM RECEIPT]]),"IN CUSTODY","DISCHARGED")</f>
        <v>DISCHARGED</v>
      </c>
    </row>
    <row r="32" spans="1:18" ht="19.8">
      <c r="A32" s="1" t="s">
        <v>137</v>
      </c>
      <c r="B32" s="2" t="s">
        <v>138</v>
      </c>
      <c r="C32" s="2">
        <v>90</v>
      </c>
      <c r="D32" s="3" t="s">
        <v>16</v>
      </c>
      <c r="E32" s="3" t="s">
        <v>139</v>
      </c>
      <c r="F32" s="4">
        <v>246758274</v>
      </c>
      <c r="G32" s="3" t="s">
        <v>1</v>
      </c>
      <c r="H32" s="5">
        <v>0.72916666666666663</v>
      </c>
      <c r="I32" s="3" t="s">
        <v>2</v>
      </c>
      <c r="J32" s="6">
        <v>45572</v>
      </c>
      <c r="K32" s="6">
        <v>45744</v>
      </c>
      <c r="L32" s="2">
        <f>IF(ISBLANK([1]!DATA[[#This Row],[DISCHARGE DATE]]),"NO DISCHARGE DATE",[1]!DATA[[#This Row],[DISCHARGE DATE]]-[1]!DATA[[#This Row],[ADMISSION DATE]]+1)</f>
        <v>41</v>
      </c>
      <c r="M32" s="7">
        <v>350</v>
      </c>
      <c r="N32" s="7">
        <v>2249</v>
      </c>
      <c r="O32" s="8" t="s">
        <v>140</v>
      </c>
      <c r="P32" s="8" t="s">
        <v>141</v>
      </c>
      <c r="Q32" s="10" cm="1">
        <f t="array" ref="Q32">_xlfn.IFS([1]!DATA[[#This Row],[TYPE]]="Normal",[1]!DATA[[#This Row],[STORAGE DAYS]]*13,[1]!DATA[[#This Row],[TYPE]]="VIP",[1]!DATA[[#This Row],[STORAGE DAYS]]*20)</f>
        <v>533</v>
      </c>
      <c r="R32" s="11" t="str">
        <f>IF(ISBLANK([1]!DATA[[#This Row],[COLDROOM RECEIPT]]),"IN CUSTODY","DISCHARGED")</f>
        <v>DISCHARGED</v>
      </c>
    </row>
    <row r="33" spans="1:18" ht="19.8">
      <c r="A33" s="1" t="s">
        <v>142</v>
      </c>
      <c r="B33" s="2" t="s">
        <v>143</v>
      </c>
      <c r="C33" s="2">
        <v>70</v>
      </c>
      <c r="D33" s="3" t="s">
        <v>16</v>
      </c>
      <c r="E33" s="3" t="s">
        <v>144</v>
      </c>
      <c r="F33" s="4">
        <v>537892477</v>
      </c>
      <c r="G33" s="3" t="s">
        <v>1</v>
      </c>
      <c r="H33" s="5">
        <v>0.5625</v>
      </c>
      <c r="I33" s="3" t="s">
        <v>145</v>
      </c>
      <c r="J33" s="6">
        <v>45575</v>
      </c>
      <c r="K33" s="6">
        <v>45772</v>
      </c>
      <c r="L33" s="2">
        <f>IF(ISBLANK([1]!DATA[[#This Row],[DISCHARGE DATE]]),"NO DISCHARGE DATE",[1]!DATA[[#This Row],[DISCHARGE DATE]]-[1]!DATA[[#This Row],[ADMISSION DATE]]+1)</f>
        <v>173</v>
      </c>
      <c r="M33" s="7">
        <v>350</v>
      </c>
      <c r="N33" s="7">
        <v>3960</v>
      </c>
      <c r="O33" s="8" t="s">
        <v>146</v>
      </c>
      <c r="P33" s="8" t="s">
        <v>147</v>
      </c>
      <c r="Q33" s="10" cm="1">
        <f t="array" ref="Q33">_xlfn.IFS([1]!DATA[[#This Row],[TYPE]]="Normal",[1]!DATA[[#This Row],[STORAGE DAYS]]*13,[1]!DATA[[#This Row],[TYPE]]="VIP",[1]!DATA[[#This Row],[STORAGE DAYS]]*20)</f>
        <v>2249</v>
      </c>
      <c r="R33" s="11" t="str">
        <f>IF(ISBLANK([1]!DATA[[#This Row],[COLDROOM RECEIPT]]),"IN CUSTODY","DISCHARGED")</f>
        <v>DISCHARGED</v>
      </c>
    </row>
    <row r="34" spans="1:18" ht="19.8">
      <c r="A34" s="1" t="s">
        <v>148</v>
      </c>
      <c r="B34" s="2" t="s">
        <v>149</v>
      </c>
      <c r="C34" s="2">
        <v>23</v>
      </c>
      <c r="D34" s="3" t="s">
        <v>16</v>
      </c>
      <c r="E34" s="3" t="s">
        <v>150</v>
      </c>
      <c r="F34" s="4">
        <v>536658995</v>
      </c>
      <c r="G34" s="3" t="s">
        <v>11</v>
      </c>
      <c r="H34" s="5">
        <v>0.72916666666666663</v>
      </c>
      <c r="I34" s="3" t="s">
        <v>145</v>
      </c>
      <c r="J34" s="6">
        <v>45576</v>
      </c>
      <c r="K34" s="6">
        <v>45743</v>
      </c>
      <c r="L34" s="2">
        <f>IF(ISBLANK([1]!DATA[[#This Row],[DISCHARGE DATE]]),"NO DISCHARGE DATE",[1]!DATA[[#This Row],[DISCHARGE DATE]]-[1]!DATA[[#This Row],[ADMISSION DATE]]+1)</f>
        <v>198</v>
      </c>
      <c r="M34" s="7">
        <v>350</v>
      </c>
      <c r="N34" s="7">
        <v>3360</v>
      </c>
      <c r="O34" s="8" t="s">
        <v>151</v>
      </c>
      <c r="P34" s="8" t="s">
        <v>152</v>
      </c>
      <c r="Q34" s="10" cm="1">
        <f t="array" ref="Q34">_xlfn.IFS([1]!DATA[[#This Row],[TYPE]]="Normal",[1]!DATA[[#This Row],[STORAGE DAYS]]*13,[1]!DATA[[#This Row],[TYPE]]="VIP",[1]!DATA[[#This Row],[STORAGE DAYS]]*20)</f>
        <v>3960</v>
      </c>
      <c r="R34" s="11" t="str">
        <f>IF(ISBLANK([1]!DATA[[#This Row],[COLDROOM RECEIPT]]),"IN CUSTODY","DISCHARGED")</f>
        <v>DISCHARGED</v>
      </c>
    </row>
    <row r="35" spans="1:18" ht="19.8">
      <c r="A35" s="1" t="s">
        <v>153</v>
      </c>
      <c r="B35" s="2" t="s">
        <v>154</v>
      </c>
      <c r="C35" s="2">
        <v>60</v>
      </c>
      <c r="D35" s="3" t="s">
        <v>0</v>
      </c>
      <c r="E35" s="3" t="s">
        <v>155</v>
      </c>
      <c r="F35" s="4">
        <v>543965476</v>
      </c>
      <c r="G35" s="3" t="s">
        <v>156</v>
      </c>
      <c r="H35" s="5">
        <v>0.33333333333333331</v>
      </c>
      <c r="I35" s="3" t="s">
        <v>2</v>
      </c>
      <c r="J35" s="6">
        <v>45577</v>
      </c>
      <c r="K35" s="6">
        <v>45597</v>
      </c>
      <c r="L35" s="2">
        <f>IF(ISBLANK([1]!DATA[[#This Row],[DISCHARGE DATE]]),"NO DISCHARGE DATE",[1]!DATA[[#This Row],[DISCHARGE DATE]]-[1]!DATA[[#This Row],[ADMISSION DATE]]+1)</f>
        <v>168</v>
      </c>
      <c r="M35" s="7">
        <v>350</v>
      </c>
      <c r="N35" s="7">
        <v>273</v>
      </c>
      <c r="O35" s="8" t="s">
        <v>157</v>
      </c>
      <c r="P35" s="8" t="s">
        <v>51</v>
      </c>
      <c r="Q35" s="10" cm="1">
        <f t="array" ref="Q35">_xlfn.IFS([1]!DATA[[#This Row],[TYPE]]="Normal",[1]!DATA[[#This Row],[STORAGE DAYS]]*13,[1]!DATA[[#This Row],[TYPE]]="VIP",[1]!DATA[[#This Row],[STORAGE DAYS]]*20)</f>
        <v>3360</v>
      </c>
      <c r="R35" s="11" t="str">
        <f>IF(ISBLANK([1]!DATA[[#This Row],[COLDROOM RECEIPT]]),"IN CUSTODY","DISCHARGED")</f>
        <v>DISCHARGED</v>
      </c>
    </row>
    <row r="36" spans="1:18" ht="19.8">
      <c r="A36" s="1" t="s">
        <v>158</v>
      </c>
      <c r="B36" s="2" t="s">
        <v>159</v>
      </c>
      <c r="C36" s="2">
        <v>55</v>
      </c>
      <c r="D36" s="3" t="s">
        <v>0</v>
      </c>
      <c r="E36" s="3" t="s">
        <v>160</v>
      </c>
      <c r="F36" s="4">
        <v>550267435</v>
      </c>
      <c r="G36" s="3" t="s">
        <v>11</v>
      </c>
      <c r="H36" s="5">
        <v>0.83333333333333337</v>
      </c>
      <c r="I36" s="3" t="s">
        <v>2</v>
      </c>
      <c r="J36" s="6">
        <v>45576</v>
      </c>
      <c r="K36" s="6">
        <v>45709</v>
      </c>
      <c r="L36" s="2">
        <f>IF(ISBLANK([1]!DATA[[#This Row],[DISCHARGE DATE]]),"NO DISCHARGE DATE",[1]!DATA[[#This Row],[DISCHARGE DATE]]-[1]!DATA[[#This Row],[ADMISSION DATE]]+1)</f>
        <v>21</v>
      </c>
      <c r="M36" s="7">
        <v>350</v>
      </c>
      <c r="N36" s="7">
        <v>1742</v>
      </c>
      <c r="O36" s="8" t="s">
        <v>161</v>
      </c>
      <c r="P36" s="8" t="s">
        <v>146</v>
      </c>
      <c r="Q36" s="10" cm="1">
        <f t="array" ref="Q36">_xlfn.IFS([1]!DATA[[#This Row],[TYPE]]="Normal",[1]!DATA[[#This Row],[STORAGE DAYS]]*13,[1]!DATA[[#This Row],[TYPE]]="VIP",[1]!DATA[[#This Row],[STORAGE DAYS]]*20)</f>
        <v>273</v>
      </c>
      <c r="R36" s="11" t="str">
        <f>IF(ISBLANK([1]!DATA[[#This Row],[COLDROOM RECEIPT]]),"IN CUSTODY","DISCHARGED")</f>
        <v>DISCHARGED</v>
      </c>
    </row>
    <row r="37" spans="1:18" ht="19.8">
      <c r="A37" s="1" t="s">
        <v>162</v>
      </c>
      <c r="B37" s="2" t="s">
        <v>163</v>
      </c>
      <c r="C37" s="2">
        <v>36</v>
      </c>
      <c r="D37" s="3" t="s">
        <v>0</v>
      </c>
      <c r="E37" s="3" t="s">
        <v>164</v>
      </c>
      <c r="F37" s="4">
        <v>592684635</v>
      </c>
      <c r="G37" s="3" t="s">
        <v>11</v>
      </c>
      <c r="H37" s="5">
        <v>0.75</v>
      </c>
      <c r="I37" s="3" t="s">
        <v>2</v>
      </c>
      <c r="J37" s="6">
        <v>45578</v>
      </c>
      <c r="K37" s="6">
        <v>45744</v>
      </c>
      <c r="L37" s="2">
        <f>IF(ISBLANK([1]!DATA[[#This Row],[DISCHARGE DATE]]),"NO DISCHARGE DATE",[1]!DATA[[#This Row],[DISCHARGE DATE]]-[1]!DATA[[#This Row],[ADMISSION DATE]]+1)</f>
        <v>134</v>
      </c>
      <c r="M37" s="7">
        <v>350</v>
      </c>
      <c r="N37" s="7">
        <v>2171</v>
      </c>
      <c r="O37" s="8" t="s">
        <v>165</v>
      </c>
      <c r="P37" s="8" t="s">
        <v>166</v>
      </c>
      <c r="Q37" s="10" cm="1">
        <f t="array" ref="Q37">_xlfn.IFS([1]!DATA[[#This Row],[TYPE]]="Normal",[1]!DATA[[#This Row],[STORAGE DAYS]]*13,[1]!DATA[[#This Row],[TYPE]]="VIP",[1]!DATA[[#This Row],[STORAGE DAYS]]*20)</f>
        <v>1742</v>
      </c>
      <c r="R37" s="11" t="str">
        <f>IF(ISBLANK([1]!DATA[[#This Row],[COLDROOM RECEIPT]]),"IN CUSTODY","DISCHARGED")</f>
        <v>DISCHARGED</v>
      </c>
    </row>
    <row r="38" spans="1:18" ht="19.8">
      <c r="A38" s="1" t="s">
        <v>167</v>
      </c>
      <c r="B38" s="2" t="s">
        <v>168</v>
      </c>
      <c r="C38" s="2">
        <v>80</v>
      </c>
      <c r="D38" s="3" t="s">
        <v>0</v>
      </c>
      <c r="E38" s="3" t="s">
        <v>169</v>
      </c>
      <c r="F38" s="4">
        <v>245078950</v>
      </c>
      <c r="G38" s="3" t="s">
        <v>11</v>
      </c>
      <c r="H38" s="5">
        <v>0.25</v>
      </c>
      <c r="I38" s="3" t="s">
        <v>145</v>
      </c>
      <c r="J38" s="6">
        <v>45583</v>
      </c>
      <c r="K38" s="6">
        <v>45730</v>
      </c>
      <c r="L38" s="2">
        <f>IF(ISBLANK([1]!DATA[[#This Row],[DISCHARGE DATE]]),"NO DISCHARGE DATE",[1]!DATA[[#This Row],[DISCHARGE DATE]]-[1]!DATA[[#This Row],[ADMISSION DATE]]+1)</f>
        <v>167</v>
      </c>
      <c r="M38" s="7">
        <v>350</v>
      </c>
      <c r="N38" s="7">
        <v>2960</v>
      </c>
      <c r="O38" s="8" t="s">
        <v>131</v>
      </c>
      <c r="P38" s="8" t="s">
        <v>170</v>
      </c>
      <c r="Q38" s="10" cm="1">
        <f t="array" ref="Q38">_xlfn.IFS([1]!DATA[[#This Row],[TYPE]]="Normal",[1]!DATA[[#This Row],[STORAGE DAYS]]*13,[1]!DATA[[#This Row],[TYPE]]="VIP",[1]!DATA[[#This Row],[STORAGE DAYS]]*20)</f>
        <v>2171</v>
      </c>
      <c r="R38" s="11" t="str">
        <f>IF(ISBLANK([1]!DATA[[#This Row],[COLDROOM RECEIPT]]),"IN CUSTODY","DISCHARGED")</f>
        <v>DISCHARGED</v>
      </c>
    </row>
    <row r="39" spans="1:18" ht="19.8">
      <c r="A39" s="1" t="s">
        <v>171</v>
      </c>
      <c r="B39" s="2" t="s">
        <v>172</v>
      </c>
      <c r="C39" s="2">
        <v>74</v>
      </c>
      <c r="D39" s="3" t="s">
        <v>16</v>
      </c>
      <c r="E39" s="3" t="s">
        <v>173</v>
      </c>
      <c r="F39" s="4">
        <v>597766781</v>
      </c>
      <c r="G39" s="3" t="s">
        <v>18</v>
      </c>
      <c r="H39" s="5">
        <v>0.875</v>
      </c>
      <c r="I39" s="3" t="s">
        <v>2</v>
      </c>
      <c r="J39" s="6">
        <v>45583</v>
      </c>
      <c r="K39" s="6">
        <v>45744</v>
      </c>
      <c r="L39" s="2">
        <f>IF(ISBLANK([1]!DATA[[#This Row],[DISCHARGE DATE]]),"NO DISCHARGE DATE",[1]!DATA[[#This Row],[DISCHARGE DATE]]-[1]!DATA[[#This Row],[ADMISSION DATE]]+1)</f>
        <v>148</v>
      </c>
      <c r="M39" s="7">
        <v>350</v>
      </c>
      <c r="N39" s="7">
        <v>2106</v>
      </c>
      <c r="O39" s="8" t="s">
        <v>42</v>
      </c>
      <c r="P39" s="8" t="s">
        <v>174</v>
      </c>
      <c r="Q39" s="10" cm="1">
        <f t="array" ref="Q39">_xlfn.IFS([1]!DATA[[#This Row],[TYPE]]="Normal",[1]!DATA[[#This Row],[STORAGE DAYS]]*13,[1]!DATA[[#This Row],[TYPE]]="VIP",[1]!DATA[[#This Row],[STORAGE DAYS]]*20)</f>
        <v>2960</v>
      </c>
      <c r="R39" s="11" t="str">
        <f>IF(ISBLANK([1]!DATA[[#This Row],[COLDROOM RECEIPT]]),"IN CUSTODY","DISCHARGED")</f>
        <v>DISCHARGED</v>
      </c>
    </row>
    <row r="40" spans="1:18" ht="19.8">
      <c r="A40" s="1" t="s">
        <v>175</v>
      </c>
      <c r="B40" s="2" t="s">
        <v>176</v>
      </c>
      <c r="C40" s="2">
        <v>62</v>
      </c>
      <c r="D40" s="3" t="s">
        <v>0</v>
      </c>
      <c r="E40" s="3" t="s">
        <v>177</v>
      </c>
      <c r="F40" s="4">
        <v>243672593</v>
      </c>
      <c r="G40" s="3" t="s">
        <v>1</v>
      </c>
      <c r="H40" s="5">
        <v>0.66666666666666663</v>
      </c>
      <c r="I40" s="3" t="s">
        <v>2</v>
      </c>
      <c r="J40" s="6">
        <v>45586</v>
      </c>
      <c r="K40" s="6">
        <v>45807</v>
      </c>
      <c r="L40" s="2">
        <f>IF(ISBLANK([1]!DATA[[#This Row],[DISCHARGE DATE]]),"NO DISCHARGE DATE",[1]!DATA[[#This Row],[DISCHARGE DATE]]-[1]!DATA[[#This Row],[ADMISSION DATE]]+1)</f>
        <v>162</v>
      </c>
      <c r="M40" s="7">
        <v>350</v>
      </c>
      <c r="N40" s="7">
        <v>2886</v>
      </c>
      <c r="O40" s="8" t="s">
        <v>178</v>
      </c>
      <c r="P40" s="8" t="s">
        <v>179</v>
      </c>
      <c r="Q40" s="10" cm="1">
        <f t="array" ref="Q40">_xlfn.IFS([1]!DATA[[#This Row],[TYPE]]="Normal",[1]!DATA[[#This Row],[STORAGE DAYS]]*13,[1]!DATA[[#This Row],[TYPE]]="VIP",[1]!DATA[[#This Row],[STORAGE DAYS]]*20)</f>
        <v>2106</v>
      </c>
      <c r="R40" s="11" t="str">
        <f>IF(ISBLANK([1]!DATA[[#This Row],[COLDROOM RECEIPT]]),"IN CUSTODY","DISCHARGED")</f>
        <v>DISCHARGED</v>
      </c>
    </row>
    <row r="41" spans="1:18" ht="19.8">
      <c r="A41" s="1" t="s">
        <v>180</v>
      </c>
      <c r="B41" s="2" t="s">
        <v>181</v>
      </c>
      <c r="C41" s="2">
        <v>80</v>
      </c>
      <c r="D41" s="3" t="s">
        <v>0</v>
      </c>
      <c r="E41" s="3" t="s">
        <v>182</v>
      </c>
      <c r="F41" s="4">
        <v>599702518</v>
      </c>
      <c r="G41" s="3" t="s">
        <v>18</v>
      </c>
      <c r="H41" s="5">
        <v>0.61805555555555558</v>
      </c>
      <c r="I41" s="3" t="s">
        <v>2</v>
      </c>
      <c r="J41" s="6">
        <v>45587</v>
      </c>
      <c r="K41" s="6">
        <v>45744</v>
      </c>
      <c r="L41" s="2">
        <f>IF(ISBLANK([1]!DATA[[#This Row],[DISCHARGE DATE]]),"NO DISCHARGE DATE",[1]!DATA[[#This Row],[DISCHARGE DATE]]-[1]!DATA[[#This Row],[ADMISSION DATE]]+1)</f>
        <v>222</v>
      </c>
      <c r="M41" s="7">
        <v>350</v>
      </c>
      <c r="N41" s="7">
        <v>2054</v>
      </c>
      <c r="O41" s="8" t="s">
        <v>183</v>
      </c>
      <c r="P41" s="8" t="s">
        <v>184</v>
      </c>
      <c r="Q41" s="10" cm="1">
        <f t="array" ref="Q41">_xlfn.IFS([1]!DATA[[#This Row],[TYPE]]="Normal",[1]!DATA[[#This Row],[STORAGE DAYS]]*13,[1]!DATA[[#This Row],[TYPE]]="VIP",[1]!DATA[[#This Row],[STORAGE DAYS]]*20)</f>
        <v>2886</v>
      </c>
      <c r="R41" s="11" t="str">
        <f>IF(ISBLANK([1]!DATA[[#This Row],[COLDROOM RECEIPT]]),"IN CUSTODY","DISCHARGED")</f>
        <v>DISCHARGED</v>
      </c>
    </row>
    <row r="42" spans="1:18" ht="19.8">
      <c r="A42" s="1" t="s">
        <v>185</v>
      </c>
      <c r="B42" s="2" t="s">
        <v>186</v>
      </c>
      <c r="C42" s="2">
        <v>71</v>
      </c>
      <c r="D42" s="3" t="s">
        <v>0</v>
      </c>
      <c r="E42" s="3" t="s">
        <v>187</v>
      </c>
      <c r="F42" s="4">
        <v>549548828</v>
      </c>
      <c r="G42" s="3" t="s">
        <v>11</v>
      </c>
      <c r="H42" s="5">
        <v>0.75</v>
      </c>
      <c r="I42" s="3" t="s">
        <v>2</v>
      </c>
      <c r="J42" s="6">
        <v>45587</v>
      </c>
      <c r="K42" s="6">
        <v>45709</v>
      </c>
      <c r="L42" s="2">
        <f>IF(ISBLANK([1]!DATA[[#This Row],[DISCHARGE DATE]]),"NO DISCHARGE DATE",[1]!DATA[[#This Row],[DISCHARGE DATE]]-[1]!DATA[[#This Row],[ADMISSION DATE]]+1)</f>
        <v>158</v>
      </c>
      <c r="M42" s="7">
        <v>350</v>
      </c>
      <c r="N42" s="7">
        <v>1599</v>
      </c>
      <c r="O42" s="8" t="s">
        <v>170</v>
      </c>
      <c r="P42" s="8" t="s">
        <v>136</v>
      </c>
      <c r="Q42" s="10" cm="1">
        <f t="array" ref="Q42">_xlfn.IFS([1]!DATA[[#This Row],[TYPE]]="Normal",[1]!DATA[[#This Row],[STORAGE DAYS]]*13,[1]!DATA[[#This Row],[TYPE]]="VIP",[1]!DATA[[#This Row],[STORAGE DAYS]]*20)</f>
        <v>2054</v>
      </c>
      <c r="R42" s="11" t="str">
        <f>IF(ISBLANK([1]!DATA[[#This Row],[COLDROOM RECEIPT]]),"IN CUSTODY","DISCHARGED")</f>
        <v>DISCHARGED</v>
      </c>
    </row>
    <row r="43" spans="1:18" ht="19.8">
      <c r="A43" s="1" t="s">
        <v>188</v>
      </c>
      <c r="B43" s="2" t="s">
        <v>189</v>
      </c>
      <c r="C43" s="2">
        <v>55</v>
      </c>
      <c r="D43" s="3" t="s">
        <v>0</v>
      </c>
      <c r="E43" s="3" t="s">
        <v>190</v>
      </c>
      <c r="F43" s="4">
        <v>598796666</v>
      </c>
      <c r="G43" s="3" t="s">
        <v>11</v>
      </c>
      <c r="H43" s="5">
        <v>0.69444444444444442</v>
      </c>
      <c r="I43" s="3" t="s">
        <v>2</v>
      </c>
      <c r="J43" s="6">
        <v>45588</v>
      </c>
      <c r="K43" s="6">
        <v>45807</v>
      </c>
      <c r="L43" s="2">
        <f>IF(ISBLANK([1]!DATA[[#This Row],[DISCHARGE DATE]]),"NO DISCHARGE DATE",[1]!DATA[[#This Row],[DISCHARGE DATE]]-[1]!DATA[[#This Row],[ADMISSION DATE]]+1)</f>
        <v>123</v>
      </c>
      <c r="M43" s="7">
        <v>350</v>
      </c>
      <c r="N43" s="7">
        <v>2860</v>
      </c>
      <c r="O43" s="8" t="s">
        <v>166</v>
      </c>
      <c r="P43" s="8" t="s">
        <v>191</v>
      </c>
      <c r="Q43" s="10" cm="1">
        <f t="array" ref="Q43">_xlfn.IFS([1]!DATA[[#This Row],[TYPE]]="Normal",[1]!DATA[[#This Row],[STORAGE DAYS]]*13,[1]!DATA[[#This Row],[TYPE]]="VIP",[1]!DATA[[#This Row],[STORAGE DAYS]]*20)</f>
        <v>1599</v>
      </c>
      <c r="R43" s="11" t="str">
        <f>IF(ISBLANK([1]!DATA[[#This Row],[COLDROOM RECEIPT]]),"IN CUSTODY","DISCHARGED")</f>
        <v>DISCHARGED</v>
      </c>
    </row>
    <row r="44" spans="1:18" ht="19.8">
      <c r="A44" s="1" t="s">
        <v>192</v>
      </c>
      <c r="B44" s="2" t="s">
        <v>193</v>
      </c>
      <c r="C44" s="2">
        <v>75</v>
      </c>
      <c r="D44" s="3" t="s">
        <v>0</v>
      </c>
      <c r="E44" s="3" t="s">
        <v>194</v>
      </c>
      <c r="F44" s="4">
        <v>246782477</v>
      </c>
      <c r="G44" s="3" t="s">
        <v>1</v>
      </c>
      <c r="H44" s="5">
        <v>0.44097222222222221</v>
      </c>
      <c r="I44" s="3" t="s">
        <v>2</v>
      </c>
      <c r="J44" s="6">
        <v>45594</v>
      </c>
      <c r="K44" s="6">
        <v>45772</v>
      </c>
      <c r="L44" s="2">
        <f>IF(ISBLANK([1]!DATA[[#This Row],[DISCHARGE DATE]]),"NO DISCHARGE DATE",[1]!DATA[[#This Row],[DISCHARGE DATE]]-[1]!DATA[[#This Row],[ADMISSION DATE]]+1)</f>
        <v>220</v>
      </c>
      <c r="M44" s="7">
        <v>350</v>
      </c>
      <c r="N44" s="7">
        <v>2327</v>
      </c>
      <c r="O44" s="8" t="s">
        <v>195</v>
      </c>
      <c r="P44" s="8" t="s">
        <v>196</v>
      </c>
      <c r="Q44" s="10" cm="1">
        <f t="array" ref="Q44">_xlfn.IFS([1]!DATA[[#This Row],[TYPE]]="Normal",[1]!DATA[[#This Row],[STORAGE DAYS]]*13,[1]!DATA[[#This Row],[TYPE]]="VIP",[1]!DATA[[#This Row],[STORAGE DAYS]]*20)</f>
        <v>2860</v>
      </c>
      <c r="R44" s="11" t="str">
        <f>IF(ISBLANK([1]!DATA[[#This Row],[COLDROOM RECEIPT]]),"IN CUSTODY","DISCHARGED")</f>
        <v>DISCHARGED</v>
      </c>
    </row>
    <row r="45" spans="1:18" ht="19.8">
      <c r="A45" s="1" t="s">
        <v>197</v>
      </c>
      <c r="B45" s="2" t="s">
        <v>198</v>
      </c>
      <c r="C45" s="2">
        <v>60</v>
      </c>
      <c r="D45" s="3" t="s">
        <v>16</v>
      </c>
      <c r="E45" s="3" t="s">
        <v>199</v>
      </c>
      <c r="F45" s="4">
        <v>591411684</v>
      </c>
      <c r="G45" s="3" t="s">
        <v>200</v>
      </c>
      <c r="H45" s="5">
        <v>0.5</v>
      </c>
      <c r="I45" s="3" t="s">
        <v>145</v>
      </c>
      <c r="J45" s="6">
        <v>45597</v>
      </c>
      <c r="K45" s="6">
        <v>45779</v>
      </c>
      <c r="L45" s="2">
        <f>IF(ISBLANK([1]!DATA[[#This Row],[DISCHARGE DATE]]),"NO DISCHARGE DATE",[1]!DATA[[#This Row],[DISCHARGE DATE]]-[1]!DATA[[#This Row],[ADMISSION DATE]]+1)</f>
        <v>179</v>
      </c>
      <c r="M45" s="7">
        <v>350</v>
      </c>
      <c r="N45" s="7">
        <v>2860</v>
      </c>
      <c r="O45" s="8" t="s">
        <v>201</v>
      </c>
      <c r="P45" s="8" t="s">
        <v>202</v>
      </c>
      <c r="Q45" s="10" cm="1">
        <f t="array" ref="Q45">_xlfn.IFS([1]!DATA[[#This Row],[TYPE]]="Normal",[1]!DATA[[#This Row],[STORAGE DAYS]]*13,[1]!DATA[[#This Row],[TYPE]]="VIP",[1]!DATA[[#This Row],[STORAGE DAYS]]*20)</f>
        <v>2327</v>
      </c>
      <c r="R45" s="11" t="str">
        <f>IF(ISBLANK([1]!DATA[[#This Row],[COLDROOM RECEIPT]]),"IN CUSTODY","DISCHARGED")</f>
        <v>DISCHARGED</v>
      </c>
    </row>
    <row r="46" spans="1:18" ht="19.8">
      <c r="A46" s="1" t="s">
        <v>203</v>
      </c>
      <c r="B46" s="2" t="s">
        <v>204</v>
      </c>
      <c r="C46" s="2">
        <v>85</v>
      </c>
      <c r="D46" s="3" t="s">
        <v>0</v>
      </c>
      <c r="E46" s="3" t="s">
        <v>205</v>
      </c>
      <c r="F46" s="4">
        <v>249608599</v>
      </c>
      <c r="G46" s="3" t="s">
        <v>11</v>
      </c>
      <c r="H46" s="5">
        <v>0.20833333333333334</v>
      </c>
      <c r="I46" s="3" t="s">
        <v>145</v>
      </c>
      <c r="J46" s="6">
        <v>45602</v>
      </c>
      <c r="K46" s="6">
        <v>45772</v>
      </c>
      <c r="L46" s="2">
        <f>IF(ISBLANK([1]!DATA[[#This Row],[DISCHARGE DATE]]),"NO DISCHARGE DATE",[1]!DATA[[#This Row],[DISCHARGE DATE]]-[1]!DATA[[#This Row],[ADMISSION DATE]]+1)</f>
        <v>183</v>
      </c>
      <c r="M46" s="7">
        <v>350</v>
      </c>
      <c r="N46" s="7">
        <v>3420</v>
      </c>
      <c r="O46" s="8" t="s">
        <v>206</v>
      </c>
      <c r="P46" s="8" t="s">
        <v>207</v>
      </c>
      <c r="Q46" s="10" cm="1">
        <f t="array" ref="Q46">_xlfn.IFS([1]!DATA[[#This Row],[TYPE]]="Normal",[1]!DATA[[#This Row],[STORAGE DAYS]]*13,[1]!DATA[[#This Row],[TYPE]]="VIP",[1]!DATA[[#This Row],[STORAGE DAYS]]*20)</f>
        <v>3660</v>
      </c>
      <c r="R46" s="11" t="str">
        <f>IF(ISBLANK([1]!DATA[[#This Row],[COLDROOM RECEIPT]]),"IN CUSTODY","DISCHARGED")</f>
        <v>DISCHARGED</v>
      </c>
    </row>
    <row r="47" spans="1:18" ht="19.8">
      <c r="A47" s="1" t="s">
        <v>208</v>
      </c>
      <c r="B47" s="2" t="s">
        <v>209</v>
      </c>
      <c r="C47" s="2">
        <v>56</v>
      </c>
      <c r="D47" s="3" t="s">
        <v>16</v>
      </c>
      <c r="E47" s="3" t="s">
        <v>210</v>
      </c>
      <c r="F47" s="4">
        <v>592417150</v>
      </c>
      <c r="G47" s="3" t="s">
        <v>18</v>
      </c>
      <c r="H47" s="5">
        <v>0.22916666666666666</v>
      </c>
      <c r="I47" s="3" t="s">
        <v>2</v>
      </c>
      <c r="J47" s="6">
        <v>45604</v>
      </c>
      <c r="K47" s="6">
        <v>45688</v>
      </c>
      <c r="L47" s="2">
        <f>IF(ISBLANK([1]!DATA[[#This Row],[DISCHARGE DATE]]),"NO DISCHARGE DATE",[1]!DATA[[#This Row],[DISCHARGE DATE]]-[1]!DATA[[#This Row],[ADMISSION DATE]]+1)</f>
        <v>171</v>
      </c>
      <c r="M47" s="7">
        <v>350</v>
      </c>
      <c r="N47" s="7">
        <v>1105</v>
      </c>
      <c r="O47" s="8" t="s">
        <v>211</v>
      </c>
      <c r="P47" s="8" t="s">
        <v>117</v>
      </c>
      <c r="Q47" s="10" cm="1">
        <f t="array" ref="Q47">_xlfn.IFS([1]!DATA[[#This Row],[TYPE]]="Normal",[1]!DATA[[#This Row],[STORAGE DAYS]]*13,[1]!DATA[[#This Row],[TYPE]]="VIP",[1]!DATA[[#This Row],[STORAGE DAYS]]*20)</f>
        <v>3420</v>
      </c>
      <c r="R47" s="11" t="str">
        <f>IF(ISBLANK([1]!DATA[[#This Row],[COLDROOM RECEIPT]]),"IN CUSTODY","DISCHARGED")</f>
        <v>DISCHARGED</v>
      </c>
    </row>
    <row r="48" spans="1:18" ht="19.8">
      <c r="A48" s="1" t="s">
        <v>212</v>
      </c>
      <c r="B48" s="2" t="s">
        <v>213</v>
      </c>
      <c r="C48" s="2">
        <v>79</v>
      </c>
      <c r="D48" s="3" t="s">
        <v>16</v>
      </c>
      <c r="E48" s="3" t="s">
        <v>214</v>
      </c>
      <c r="F48" s="4">
        <v>245427262</v>
      </c>
      <c r="G48" s="3" t="s">
        <v>64</v>
      </c>
      <c r="H48" s="5">
        <v>0.54166666666666663</v>
      </c>
      <c r="I48" s="3" t="s">
        <v>2</v>
      </c>
      <c r="J48" s="6">
        <v>45604</v>
      </c>
      <c r="K48" s="6">
        <v>45723</v>
      </c>
      <c r="L48" s="2">
        <f>IF(ISBLANK([1]!DATA[[#This Row],[DISCHARGE DATE]]),"NO DISCHARGE DATE",[1]!DATA[[#This Row],[DISCHARGE DATE]]-[1]!DATA[[#This Row],[ADMISSION DATE]]+1)</f>
        <v>85</v>
      </c>
      <c r="M48" s="7">
        <v>350</v>
      </c>
      <c r="N48" s="7">
        <v>1469</v>
      </c>
      <c r="O48" s="8" t="s">
        <v>215</v>
      </c>
      <c r="P48" s="8" t="s">
        <v>130</v>
      </c>
      <c r="Q48" s="10" cm="1">
        <f t="array" ref="Q48">_xlfn.IFS([1]!DATA[[#This Row],[TYPE]]="Normal",[1]!DATA[[#This Row],[STORAGE DAYS]]*13,[1]!DATA[[#This Row],[TYPE]]="VIP",[1]!DATA[[#This Row],[STORAGE DAYS]]*20)</f>
        <v>1105</v>
      </c>
      <c r="R48" s="11" t="str">
        <f>IF(ISBLANK([1]!DATA[[#This Row],[COLDROOM RECEIPT]]),"IN CUSTODY","DISCHARGED")</f>
        <v>DISCHARGED</v>
      </c>
    </row>
    <row r="49" spans="1:18" ht="19.8">
      <c r="A49" s="1" t="s">
        <v>216</v>
      </c>
      <c r="B49" s="2" t="s">
        <v>217</v>
      </c>
      <c r="C49" s="2">
        <v>73</v>
      </c>
      <c r="D49" s="3" t="s">
        <v>0</v>
      </c>
      <c r="E49" s="3" t="s">
        <v>218</v>
      </c>
      <c r="F49" s="4">
        <v>531488948</v>
      </c>
      <c r="G49" s="3" t="s">
        <v>1</v>
      </c>
      <c r="H49" s="5">
        <v>0.5</v>
      </c>
      <c r="I49" s="3" t="s">
        <v>2</v>
      </c>
      <c r="J49" s="6">
        <v>45612</v>
      </c>
      <c r="K49" s="6">
        <v>45744</v>
      </c>
      <c r="L49" s="2">
        <f>IF(ISBLANK([1]!DATA[[#This Row],[DISCHARGE DATE]]),"NO DISCHARGE DATE",[1]!DATA[[#This Row],[DISCHARGE DATE]]-[1]!DATA[[#This Row],[ADMISSION DATE]]+1)</f>
        <v>120</v>
      </c>
      <c r="M49" s="7">
        <v>350</v>
      </c>
      <c r="N49" s="7">
        <v>1729</v>
      </c>
      <c r="O49" s="8" t="s">
        <v>219</v>
      </c>
      <c r="P49" s="8" t="s">
        <v>220</v>
      </c>
      <c r="Q49" s="10" cm="1">
        <f t="array" ref="Q49">_xlfn.IFS([1]!DATA[[#This Row],[TYPE]]="Normal",[1]!DATA[[#This Row],[STORAGE DAYS]]*13,[1]!DATA[[#This Row],[TYPE]]="VIP",[1]!DATA[[#This Row],[STORAGE DAYS]]*20)</f>
        <v>1560</v>
      </c>
      <c r="R49" s="11" t="str">
        <f>IF(ISBLANK([1]!DATA[[#This Row],[COLDROOM RECEIPT]]),"IN CUSTODY","DISCHARGED")</f>
        <v>DISCHARGED</v>
      </c>
    </row>
    <row r="50" spans="1:18" ht="19.8">
      <c r="A50" s="1" t="s">
        <v>221</v>
      </c>
      <c r="B50" s="2" t="s">
        <v>222</v>
      </c>
      <c r="C50" s="2">
        <v>82</v>
      </c>
      <c r="D50" s="3" t="s">
        <v>0</v>
      </c>
      <c r="E50" s="3" t="s">
        <v>223</v>
      </c>
      <c r="F50" s="4">
        <v>245461941</v>
      </c>
      <c r="G50" s="3" t="s">
        <v>18</v>
      </c>
      <c r="H50" s="5">
        <v>0.72916666666666663</v>
      </c>
      <c r="I50" s="3" t="s">
        <v>145</v>
      </c>
      <c r="J50" s="6">
        <v>45612</v>
      </c>
      <c r="K50" s="6">
        <v>45688</v>
      </c>
      <c r="L50" s="2">
        <f>IF(ISBLANK([1]!DATA[[#This Row],[DISCHARGE DATE]]),"NO DISCHARGE DATE",[1]!DATA[[#This Row],[DISCHARGE DATE]]-[1]!DATA[[#This Row],[ADMISSION DATE]]+1)</f>
        <v>133</v>
      </c>
      <c r="M50" s="7">
        <v>350</v>
      </c>
      <c r="N50" s="7">
        <v>1540</v>
      </c>
      <c r="O50" s="8" t="s">
        <v>224</v>
      </c>
      <c r="P50" s="8" t="s">
        <v>121</v>
      </c>
      <c r="Q50" s="10" cm="1">
        <f t="array" ref="Q50">_xlfn.IFS([1]!DATA[[#This Row],[TYPE]]="Normal",[1]!DATA[[#This Row],[STORAGE DAYS]]*13,[1]!DATA[[#This Row],[TYPE]]="VIP",[1]!DATA[[#This Row],[STORAGE DAYS]]*20)</f>
        <v>1729</v>
      </c>
      <c r="R50" s="11" t="str">
        <f>IF(ISBLANK([1]!DATA[[#This Row],[COLDROOM RECEIPT]]),"IN CUSTODY","DISCHARGED")</f>
        <v>DISCHARGED</v>
      </c>
    </row>
    <row r="51" spans="1:18" ht="19.8">
      <c r="A51" s="1" t="s">
        <v>225</v>
      </c>
      <c r="B51" s="2" t="s">
        <v>226</v>
      </c>
      <c r="C51" s="2">
        <v>40</v>
      </c>
      <c r="D51" s="3" t="s">
        <v>16</v>
      </c>
      <c r="E51" s="3" t="s">
        <v>227</v>
      </c>
      <c r="F51" s="4">
        <v>541938360</v>
      </c>
      <c r="G51" s="3" t="s">
        <v>125</v>
      </c>
      <c r="H51" s="5">
        <v>0.5</v>
      </c>
      <c r="I51" s="3" t="s">
        <v>2</v>
      </c>
      <c r="J51" s="6">
        <v>45614</v>
      </c>
      <c r="K51" s="6">
        <v>45709</v>
      </c>
      <c r="L51" s="2">
        <f>IF(ISBLANK([1]!DATA[[#This Row],[DISCHARGE DATE]]),"NO DISCHARGE DATE",[1]!DATA[[#This Row],[DISCHARGE DATE]]-[1]!DATA[[#This Row],[ADMISSION DATE]]+1)</f>
        <v>77</v>
      </c>
      <c r="M51" s="7">
        <v>350</v>
      </c>
      <c r="N51" s="7">
        <v>1920</v>
      </c>
      <c r="O51" s="8" t="s">
        <v>228</v>
      </c>
      <c r="P51" s="8" t="s">
        <v>151</v>
      </c>
      <c r="Q51" s="10" cm="1">
        <f t="array" ref="Q51">_xlfn.IFS([1]!DATA[[#This Row],[TYPE]]="Normal",[1]!DATA[[#This Row],[STORAGE DAYS]]*13,[1]!DATA[[#This Row],[TYPE]]="VIP",[1]!DATA[[#This Row],[STORAGE DAYS]]*20)</f>
        <v>1540</v>
      </c>
      <c r="R51" s="11" t="str">
        <f>IF(ISBLANK([1]!DATA[[#This Row],[COLDROOM RECEIPT]]),"IN CUSTODY","DISCHARGED")</f>
        <v>DISCHARGED</v>
      </c>
    </row>
    <row r="52" spans="1:18" ht="19.8">
      <c r="A52" s="1" t="s">
        <v>229</v>
      </c>
      <c r="B52" s="2" t="s">
        <v>230</v>
      </c>
      <c r="C52" s="2">
        <v>70</v>
      </c>
      <c r="D52" s="3" t="s">
        <v>16</v>
      </c>
      <c r="E52" s="3" t="s">
        <v>231</v>
      </c>
      <c r="F52" s="4">
        <v>591349206</v>
      </c>
      <c r="G52" s="3" t="s">
        <v>1</v>
      </c>
      <c r="H52" s="5">
        <v>0.25</v>
      </c>
      <c r="I52" s="3" t="s">
        <v>145</v>
      </c>
      <c r="J52" s="6">
        <v>45618</v>
      </c>
      <c r="K52" s="6">
        <v>45807</v>
      </c>
      <c r="L52" s="2">
        <f>IF(ISBLANK([1]!DATA[[#This Row],[DISCHARGE DATE]]),"NO DISCHARGE DATE",[1]!DATA[[#This Row],[DISCHARGE DATE]]-[1]!DATA[[#This Row],[ADMISSION DATE]]+1)</f>
        <v>96</v>
      </c>
      <c r="M52" s="7">
        <v>350</v>
      </c>
      <c r="N52" s="7">
        <v>3800</v>
      </c>
      <c r="O52" s="8" t="s">
        <v>232</v>
      </c>
      <c r="P52" s="8" t="s">
        <v>233</v>
      </c>
      <c r="Q52" s="10" cm="1">
        <f t="array" ref="Q52">_xlfn.IFS([1]!DATA[[#This Row],[TYPE]]="Normal",[1]!DATA[[#This Row],[STORAGE DAYS]]*13,[1]!DATA[[#This Row],[TYPE]]="VIP",[1]!DATA[[#This Row],[STORAGE DAYS]]*20)</f>
        <v>1248</v>
      </c>
      <c r="R52" s="11" t="str">
        <f>IF(ISBLANK([1]!DATA[[#This Row],[COLDROOM RECEIPT]]),"IN CUSTODY","DISCHARGED")</f>
        <v>DISCHARGED</v>
      </c>
    </row>
    <row r="53" spans="1:18" ht="19.8">
      <c r="A53" s="1" t="s">
        <v>234</v>
      </c>
      <c r="B53" s="2" t="s">
        <v>235</v>
      </c>
      <c r="C53" s="2">
        <v>42</v>
      </c>
      <c r="D53" s="3" t="s">
        <v>16</v>
      </c>
      <c r="E53" s="3" t="s">
        <v>236</v>
      </c>
      <c r="F53" s="4">
        <v>242122292</v>
      </c>
      <c r="G53" s="3" t="s">
        <v>1</v>
      </c>
      <c r="H53" s="5">
        <v>0.25</v>
      </c>
      <c r="I53" s="3" t="s">
        <v>2</v>
      </c>
      <c r="J53" s="6">
        <v>45621</v>
      </c>
      <c r="K53" s="6">
        <v>45709</v>
      </c>
      <c r="L53" s="2">
        <f>IF(ISBLANK([1]!DATA[[#This Row],[DISCHARGE DATE]]),"NO DISCHARGE DATE",[1]!DATA[[#This Row],[DISCHARGE DATE]]-[1]!DATA[[#This Row],[ADMISSION DATE]]+1)</f>
        <v>190</v>
      </c>
      <c r="M53" s="7">
        <v>350</v>
      </c>
      <c r="N53" s="7">
        <v>1157</v>
      </c>
      <c r="O53" s="8" t="s">
        <v>237</v>
      </c>
      <c r="P53" s="8" t="s">
        <v>161</v>
      </c>
      <c r="Q53" s="10" cm="1">
        <f t="array" ref="Q53">_xlfn.IFS([1]!DATA[[#This Row],[TYPE]]="Normal",[1]!DATA[[#This Row],[STORAGE DAYS]]*13,[1]!DATA[[#This Row],[TYPE]]="VIP",[1]!DATA[[#This Row],[STORAGE DAYS]]*20)</f>
        <v>3800</v>
      </c>
      <c r="R53" s="11" t="str">
        <f>IF(ISBLANK([1]!DATA[[#This Row],[COLDROOM RECEIPT]]),"IN CUSTODY","DISCHARGED")</f>
        <v>DISCHARGED</v>
      </c>
    </row>
    <row r="54" spans="1:18" ht="19.8">
      <c r="A54" s="1" t="s">
        <v>238</v>
      </c>
      <c r="B54" s="2" t="s">
        <v>239</v>
      </c>
      <c r="C54" s="2">
        <v>56</v>
      </c>
      <c r="D54" s="3" t="s">
        <v>0</v>
      </c>
      <c r="E54" s="3" t="s">
        <v>240</v>
      </c>
      <c r="F54" s="4">
        <v>591349206</v>
      </c>
      <c r="G54" s="3" t="s">
        <v>1</v>
      </c>
      <c r="H54" s="5">
        <v>0.77083333333333337</v>
      </c>
      <c r="I54" s="3" t="s">
        <v>145</v>
      </c>
      <c r="J54" s="6">
        <v>45619</v>
      </c>
      <c r="K54" s="6">
        <v>45744</v>
      </c>
      <c r="L54" s="2">
        <f>IF(ISBLANK([1]!DATA[[#This Row],[DISCHARGE DATE]]),"NO DISCHARGE DATE",[1]!DATA[[#This Row],[DISCHARGE DATE]]-[1]!DATA[[#This Row],[ADMISSION DATE]]+1)</f>
        <v>89</v>
      </c>
      <c r="M54" s="7">
        <v>350</v>
      </c>
      <c r="N54" s="7">
        <v>2520</v>
      </c>
      <c r="O54" s="8" t="s">
        <v>152</v>
      </c>
      <c r="P54" s="8" t="s">
        <v>241</v>
      </c>
      <c r="Q54" s="10" cm="1">
        <f t="array" ref="Q54">_xlfn.IFS([1]!DATA[[#This Row],[TYPE]]="Normal",[1]!DATA[[#This Row],[STORAGE DAYS]]*13,[1]!DATA[[#This Row],[TYPE]]="VIP",[1]!DATA[[#This Row],[STORAGE DAYS]]*20)</f>
        <v>1157</v>
      </c>
      <c r="R54" s="11" t="str">
        <f>IF(ISBLANK([1]!DATA[[#This Row],[COLDROOM RECEIPT]]),"IN CUSTODY","DISCHARGED")</f>
        <v>DISCHARGED</v>
      </c>
    </row>
    <row r="55" spans="1:18" ht="19.8">
      <c r="A55" s="1" t="s">
        <v>242</v>
      </c>
      <c r="B55" s="2" t="s">
        <v>243</v>
      </c>
      <c r="C55" s="2">
        <v>87</v>
      </c>
      <c r="D55" s="3" t="s">
        <v>16</v>
      </c>
      <c r="E55" s="3" t="s">
        <v>244</v>
      </c>
      <c r="F55" s="4">
        <v>245209916</v>
      </c>
      <c r="G55" s="3" t="s">
        <v>1</v>
      </c>
      <c r="H55" s="5">
        <v>0.52222222222222225</v>
      </c>
      <c r="I55" s="3" t="s">
        <v>2</v>
      </c>
      <c r="J55" s="6">
        <v>45624</v>
      </c>
      <c r="K55" s="6">
        <v>45744</v>
      </c>
      <c r="L55" s="2">
        <f>IF(ISBLANK([1]!DATA[[#This Row],[DISCHARGE DATE]]),"NO DISCHARGE DATE",[1]!DATA[[#This Row],[DISCHARGE DATE]]-[1]!DATA[[#This Row],[ADMISSION DATE]]+1)</f>
        <v>126</v>
      </c>
      <c r="M55" s="7">
        <v>350</v>
      </c>
      <c r="N55" s="7">
        <v>1573</v>
      </c>
      <c r="O55" s="8" t="s">
        <v>184</v>
      </c>
      <c r="P55" s="8" t="s">
        <v>215</v>
      </c>
      <c r="Q55" s="10" cm="1">
        <f t="array" ref="Q55">_xlfn.IFS([1]!DATA[[#This Row],[TYPE]]="Normal",[1]!DATA[[#This Row],[STORAGE DAYS]]*13,[1]!DATA[[#This Row],[TYPE]]="VIP",[1]!DATA[[#This Row],[STORAGE DAYS]]*20)</f>
        <v>2520</v>
      </c>
      <c r="R55" s="11" t="str">
        <f>IF(ISBLANK([1]!DATA[[#This Row],[COLDROOM RECEIPT]]),"IN CUSTODY","DISCHARGED")</f>
        <v>DISCHARGED</v>
      </c>
    </row>
    <row r="56" spans="1:18" ht="19.8">
      <c r="A56" s="1" t="s">
        <v>245</v>
      </c>
      <c r="B56" s="2" t="s">
        <v>246</v>
      </c>
      <c r="C56" s="2">
        <v>80</v>
      </c>
      <c r="D56" s="3" t="s">
        <v>16</v>
      </c>
      <c r="E56" s="3" t="s">
        <v>247</v>
      </c>
      <c r="F56" s="4">
        <v>247570112</v>
      </c>
      <c r="G56" s="3" t="s">
        <v>1</v>
      </c>
      <c r="H56" s="5">
        <v>0.52916666666666667</v>
      </c>
      <c r="I56" s="3" t="s">
        <v>145</v>
      </c>
      <c r="J56" s="6">
        <v>45625</v>
      </c>
      <c r="K56" s="6">
        <v>45723</v>
      </c>
      <c r="L56" s="2">
        <f>IF(ISBLANK([1]!DATA[[#This Row],[DISCHARGE DATE]]),"NO DISCHARGE DATE",[1]!DATA[[#This Row],[DISCHARGE DATE]]-[1]!DATA[[#This Row],[ADMISSION DATE]]+1)</f>
        <v>121</v>
      </c>
      <c r="M56" s="7">
        <v>350</v>
      </c>
      <c r="N56" s="7">
        <v>1980</v>
      </c>
      <c r="O56" s="8" t="s">
        <v>248</v>
      </c>
      <c r="P56" s="8" t="s">
        <v>178</v>
      </c>
      <c r="Q56" s="10" cm="1">
        <f t="array" ref="Q56">_xlfn.IFS([1]!DATA[[#This Row],[TYPE]]="Normal",[1]!DATA[[#This Row],[STORAGE DAYS]]*13,[1]!DATA[[#This Row],[TYPE]]="VIP",[1]!DATA[[#This Row],[STORAGE DAYS]]*20)</f>
        <v>1573</v>
      </c>
      <c r="R56" s="11" t="str">
        <f>IF(ISBLANK([1]!DATA[[#This Row],[COLDROOM RECEIPT]]),"IN CUSTODY","DISCHARGED")</f>
        <v>DISCHARGED</v>
      </c>
    </row>
    <row r="57" spans="1:18" ht="19.8">
      <c r="A57" s="1" t="s">
        <v>249</v>
      </c>
      <c r="B57" s="2" t="s">
        <v>250</v>
      </c>
      <c r="C57" s="2">
        <v>62</v>
      </c>
      <c r="D57" s="3" t="s">
        <v>0</v>
      </c>
      <c r="E57" s="3" t="s">
        <v>251</v>
      </c>
      <c r="F57" s="4">
        <v>544229344</v>
      </c>
      <c r="G57" s="3" t="s">
        <v>18</v>
      </c>
      <c r="H57" s="5">
        <v>0.83333333333333337</v>
      </c>
      <c r="I57" s="3" t="s">
        <v>2</v>
      </c>
      <c r="J57" s="6">
        <v>45627</v>
      </c>
      <c r="K57" s="6">
        <v>45723</v>
      </c>
      <c r="L57" s="2">
        <f>IF(ISBLANK([1]!DATA[[#This Row],[DISCHARGE DATE]]),"NO DISCHARGE DATE",[1]!DATA[[#This Row],[DISCHARGE DATE]]-[1]!DATA[[#This Row],[ADMISSION DATE]]+1)</f>
        <v>99</v>
      </c>
      <c r="M57" s="7">
        <v>350</v>
      </c>
      <c r="N57" s="7">
        <v>1261</v>
      </c>
      <c r="O57" s="8" t="s">
        <v>252</v>
      </c>
      <c r="P57" s="8" t="s">
        <v>165</v>
      </c>
      <c r="Q57" s="10" cm="1">
        <f t="array" ref="Q57">_xlfn.IFS([1]!DATA[[#This Row],[TYPE]]="Normal",[1]!DATA[[#This Row],[STORAGE DAYS]]*13,[1]!DATA[[#This Row],[TYPE]]="VIP",[1]!DATA[[#This Row],[STORAGE DAYS]]*20)</f>
        <v>1980</v>
      </c>
      <c r="R57" s="11" t="str">
        <f>IF(ISBLANK([1]!DATA[[#This Row],[COLDROOM RECEIPT]]),"IN CUSTODY","DISCHARGED")</f>
        <v>DISCHARGED</v>
      </c>
    </row>
    <row r="58" spans="1:18" ht="19.8">
      <c r="A58" s="1" t="s">
        <v>253</v>
      </c>
      <c r="B58" s="2" t="s">
        <v>254</v>
      </c>
      <c r="C58" s="2">
        <v>64</v>
      </c>
      <c r="D58" s="3" t="s">
        <v>0</v>
      </c>
      <c r="E58" s="3" t="s">
        <v>255</v>
      </c>
      <c r="F58" s="4">
        <v>240097477</v>
      </c>
      <c r="G58" s="3" t="s">
        <v>1</v>
      </c>
      <c r="H58" s="5">
        <v>0.61319444444444449</v>
      </c>
      <c r="I58" s="3" t="s">
        <v>2</v>
      </c>
      <c r="J58" s="6">
        <v>45628</v>
      </c>
      <c r="K58" s="6">
        <v>45744</v>
      </c>
      <c r="L58" s="2">
        <f>IF(ISBLANK([1]!DATA[[#This Row],[DISCHARGE DATE]]),"NO DISCHARGE DATE",[1]!DATA[[#This Row],[DISCHARGE DATE]]-[1]!DATA[[#This Row],[ADMISSION DATE]]+1)</f>
        <v>97</v>
      </c>
      <c r="M58" s="7">
        <v>350</v>
      </c>
      <c r="N58" s="7">
        <v>1521</v>
      </c>
      <c r="O58" s="8" t="s">
        <v>256</v>
      </c>
      <c r="P58" s="8" t="s">
        <v>257</v>
      </c>
      <c r="Q58" s="10" cm="1">
        <f t="array" ref="Q58">_xlfn.IFS([1]!DATA[[#This Row],[TYPE]]="Normal",[1]!DATA[[#This Row],[STORAGE DAYS]]*13,[1]!DATA[[#This Row],[TYPE]]="VIP",[1]!DATA[[#This Row],[STORAGE DAYS]]*20)</f>
        <v>1261</v>
      </c>
      <c r="R58" s="11" t="str">
        <f>IF(ISBLANK([1]!DATA[[#This Row],[COLDROOM RECEIPT]]),"IN CUSTODY","DISCHARGED")</f>
        <v>DISCHARGED</v>
      </c>
    </row>
    <row r="59" spans="1:18" ht="19.8">
      <c r="A59" s="1" t="s">
        <v>258</v>
      </c>
      <c r="B59" s="2" t="s">
        <v>259</v>
      </c>
      <c r="C59" s="2">
        <v>43</v>
      </c>
      <c r="D59" s="3" t="s">
        <v>0</v>
      </c>
      <c r="E59" s="3" t="s">
        <v>260</v>
      </c>
      <c r="F59" s="4">
        <v>532467807</v>
      </c>
      <c r="G59" s="3" t="s">
        <v>1</v>
      </c>
      <c r="H59" s="5">
        <v>0.79166666666666663</v>
      </c>
      <c r="I59" s="3" t="s">
        <v>2</v>
      </c>
      <c r="J59" s="6">
        <v>45626</v>
      </c>
      <c r="K59" s="6">
        <v>45641</v>
      </c>
      <c r="L59" s="2">
        <f>IF(ISBLANK([1]!DATA[[#This Row],[DISCHARGE DATE]]),"NO DISCHARGE DATE",[1]!DATA[[#This Row],[DISCHARGE DATE]]-[1]!DATA[[#This Row],[ADMISSION DATE]]+1)</f>
        <v>117</v>
      </c>
      <c r="M59" s="7">
        <v>350</v>
      </c>
      <c r="N59" s="7">
        <v>208</v>
      </c>
      <c r="O59" s="8" t="s">
        <v>52</v>
      </c>
      <c r="P59" s="8" t="s">
        <v>113</v>
      </c>
      <c r="Q59" s="10" cm="1">
        <f t="array" ref="Q59">_xlfn.IFS([1]!DATA[[#This Row],[TYPE]]="Normal",[1]!DATA[[#This Row],[STORAGE DAYS]]*13,[1]!DATA[[#This Row],[TYPE]]="VIP",[1]!DATA[[#This Row],[STORAGE DAYS]]*20)</f>
        <v>1521</v>
      </c>
      <c r="R59" s="11" t="str">
        <f>IF(ISBLANK([1]!DATA[[#This Row],[COLDROOM RECEIPT]]),"IN CUSTODY","DISCHARGED")</f>
        <v>DISCHARGED</v>
      </c>
    </row>
    <row r="60" spans="1:18" ht="19.8">
      <c r="A60" s="1" t="s">
        <v>261</v>
      </c>
      <c r="B60" s="2" t="s">
        <v>262</v>
      </c>
      <c r="C60" s="2">
        <v>60</v>
      </c>
      <c r="D60" s="3" t="s">
        <v>0</v>
      </c>
      <c r="E60" s="3" t="s">
        <v>263</v>
      </c>
      <c r="F60" s="4">
        <v>598241643</v>
      </c>
      <c r="G60" s="3" t="s">
        <v>64</v>
      </c>
      <c r="H60" s="5">
        <v>0.29166666666666669</v>
      </c>
      <c r="I60" s="3" t="s">
        <v>145</v>
      </c>
      <c r="J60" s="6">
        <v>45639</v>
      </c>
      <c r="K60" s="6">
        <v>45737</v>
      </c>
      <c r="L60" s="2">
        <f>IF(ISBLANK([1]!DATA[[#This Row],[DISCHARGE DATE]]),"NO DISCHARGE DATE",[1]!DATA[[#This Row],[DISCHARGE DATE]]-[1]!DATA[[#This Row],[ADMISSION DATE]]+1)</f>
        <v>16</v>
      </c>
      <c r="M60" s="7">
        <v>350</v>
      </c>
      <c r="N60" s="7">
        <v>1980</v>
      </c>
      <c r="O60" s="8" t="s">
        <v>264</v>
      </c>
      <c r="P60" s="8" t="s">
        <v>228</v>
      </c>
      <c r="Q60" s="10" cm="1">
        <f t="array" ref="Q60">_xlfn.IFS([1]!DATA[[#This Row],[TYPE]]="Normal",[1]!DATA[[#This Row],[STORAGE DAYS]]*13,[1]!DATA[[#This Row],[TYPE]]="VIP",[1]!DATA[[#This Row],[STORAGE DAYS]]*20)</f>
        <v>208</v>
      </c>
      <c r="R60" s="11" t="str">
        <f>IF(ISBLANK([1]!DATA[[#This Row],[COLDROOM RECEIPT]]),"IN CUSTODY","DISCHARGED")</f>
        <v>DISCHARGED</v>
      </c>
    </row>
    <row r="61" spans="1:18" ht="19.8">
      <c r="A61" s="1" t="s">
        <v>265</v>
      </c>
      <c r="B61" s="2" t="s">
        <v>266</v>
      </c>
      <c r="C61" s="2">
        <v>65</v>
      </c>
      <c r="D61" s="3" t="s">
        <v>0</v>
      </c>
      <c r="E61" s="3" t="s">
        <v>267</v>
      </c>
      <c r="F61" s="4">
        <v>544817091</v>
      </c>
      <c r="G61" s="3" t="s">
        <v>64</v>
      </c>
      <c r="H61" s="5">
        <v>0.8125</v>
      </c>
      <c r="I61" s="3" t="s">
        <v>2</v>
      </c>
      <c r="J61" s="6">
        <v>45641</v>
      </c>
      <c r="K61" s="6">
        <v>45737</v>
      </c>
      <c r="L61" s="2">
        <f>IF(ISBLANK([1]!DATA[[#This Row],[DISCHARGE DATE]]),"NO DISCHARGE DATE",[1]!DATA[[#This Row],[DISCHARGE DATE]]-[1]!DATA[[#This Row],[ADMISSION DATE]]+1)</f>
        <v>99</v>
      </c>
      <c r="M61" s="7">
        <v>350</v>
      </c>
      <c r="N61" s="7">
        <v>1261</v>
      </c>
      <c r="O61" s="8" t="s">
        <v>70</v>
      </c>
      <c r="P61" s="8" t="s">
        <v>219</v>
      </c>
      <c r="Q61" s="10" cm="1">
        <f t="array" ref="Q61">_xlfn.IFS([1]!DATA[[#This Row],[TYPE]]="Normal",[1]!DATA[[#This Row],[STORAGE DAYS]]*13,[1]!DATA[[#This Row],[TYPE]]="VIP",[1]!DATA[[#This Row],[STORAGE DAYS]]*20)</f>
        <v>1980</v>
      </c>
      <c r="R61" s="11" t="str">
        <f>IF(ISBLANK([1]!DATA[[#This Row],[COLDROOM RECEIPT]]),"IN CUSTODY","DISCHARGED")</f>
        <v>DISCHARGED</v>
      </c>
    </row>
    <row r="62" spans="1:18" ht="19.8">
      <c r="A62" s="1" t="s">
        <v>268</v>
      </c>
      <c r="B62" s="2" t="s">
        <v>269</v>
      </c>
      <c r="C62" s="2">
        <v>64</v>
      </c>
      <c r="D62" s="3" t="s">
        <v>0</v>
      </c>
      <c r="E62" s="3" t="s">
        <v>68</v>
      </c>
      <c r="F62" s="4">
        <v>594120618</v>
      </c>
      <c r="G62" s="3" t="s">
        <v>18</v>
      </c>
      <c r="H62" s="5">
        <v>0.3125</v>
      </c>
      <c r="I62" s="3" t="s">
        <v>2</v>
      </c>
      <c r="J62" s="6">
        <v>45643</v>
      </c>
      <c r="K62" s="6">
        <v>45744</v>
      </c>
      <c r="L62" s="2">
        <f>IF(ISBLANK([1]!DATA[[#This Row],[DISCHARGE DATE]]),"NO DISCHARGE DATE",[1]!DATA[[#This Row],[DISCHARGE DATE]]-[1]!DATA[[#This Row],[ADMISSION DATE]]+1)</f>
        <v>97</v>
      </c>
      <c r="M62" s="7">
        <v>350</v>
      </c>
      <c r="N62" s="7">
        <v>1326</v>
      </c>
      <c r="O62" s="8" t="s">
        <v>174</v>
      </c>
      <c r="P62" s="8" t="s">
        <v>264</v>
      </c>
      <c r="Q62" s="10" cm="1">
        <f t="array" ref="Q62">_xlfn.IFS([1]!DATA[[#This Row],[TYPE]]="Normal",[1]!DATA[[#This Row],[STORAGE DAYS]]*13,[1]!DATA[[#This Row],[TYPE]]="VIP",[1]!DATA[[#This Row],[STORAGE DAYS]]*20)</f>
        <v>1261</v>
      </c>
      <c r="R62" s="11" t="str">
        <f>IF(ISBLANK([1]!DATA[[#This Row],[COLDROOM RECEIPT]]),"IN CUSTODY","DISCHARGED")</f>
        <v>DISCHARGED</v>
      </c>
    </row>
    <row r="63" spans="1:18" ht="19.8">
      <c r="A63" s="1" t="s">
        <v>270</v>
      </c>
      <c r="B63" s="2" t="s">
        <v>271</v>
      </c>
      <c r="C63" s="2">
        <v>52</v>
      </c>
      <c r="D63" s="3" t="s">
        <v>16</v>
      </c>
      <c r="E63" s="3" t="s">
        <v>272</v>
      </c>
      <c r="F63" s="4">
        <v>542668147</v>
      </c>
      <c r="G63" s="3" t="s">
        <v>1</v>
      </c>
      <c r="H63" s="5">
        <v>0.39583333333333331</v>
      </c>
      <c r="I63" s="3" t="s">
        <v>2</v>
      </c>
      <c r="J63" s="6">
        <v>45644</v>
      </c>
      <c r="K63" s="6">
        <v>45772</v>
      </c>
      <c r="L63" s="2">
        <f>IF(ISBLANK([1]!DATA[[#This Row],[DISCHARGE DATE]]),"NO DISCHARGE DATE",[1]!DATA[[#This Row],[DISCHARGE DATE]]-[1]!DATA[[#This Row],[ADMISSION DATE]]+1)</f>
        <v>102</v>
      </c>
      <c r="M63" s="7">
        <v>350</v>
      </c>
      <c r="N63" s="7">
        <v>1677</v>
      </c>
      <c r="O63" s="8" t="s">
        <v>273</v>
      </c>
      <c r="P63" s="8" t="s">
        <v>274</v>
      </c>
      <c r="Q63" s="10" cm="1">
        <f t="array" ref="Q63">_xlfn.IFS([1]!DATA[[#This Row],[TYPE]]="Normal",[1]!DATA[[#This Row],[STORAGE DAYS]]*13,[1]!DATA[[#This Row],[TYPE]]="VIP",[1]!DATA[[#This Row],[STORAGE DAYS]]*20)</f>
        <v>1326</v>
      </c>
      <c r="R63" s="11" t="str">
        <f>IF(ISBLANK([1]!DATA[[#This Row],[COLDROOM RECEIPT]]),"IN CUSTODY","DISCHARGED")</f>
        <v>DISCHARGED</v>
      </c>
    </row>
    <row r="64" spans="1:18" ht="19.8">
      <c r="A64" s="1" t="s">
        <v>275</v>
      </c>
      <c r="B64" s="2" t="s">
        <v>276</v>
      </c>
      <c r="C64" s="2">
        <v>41</v>
      </c>
      <c r="D64" s="3" t="s">
        <v>0</v>
      </c>
      <c r="E64" s="3" t="s">
        <v>277</v>
      </c>
      <c r="F64" s="4">
        <v>539843182</v>
      </c>
      <c r="G64" s="3" t="s">
        <v>1</v>
      </c>
      <c r="H64" s="5">
        <v>0.5</v>
      </c>
      <c r="I64" s="3" t="s">
        <v>2</v>
      </c>
      <c r="J64" s="6">
        <v>45649</v>
      </c>
      <c r="K64" s="6">
        <v>45744</v>
      </c>
      <c r="L64" s="2">
        <f>IF(ISBLANK([1]!DATA[[#This Row],[DISCHARGE DATE]]),"NO DISCHARGE DATE",[1]!DATA[[#This Row],[DISCHARGE DATE]]-[1]!DATA[[#This Row],[ADMISSION DATE]]+1)</f>
        <v>129</v>
      </c>
      <c r="M64" s="7">
        <v>350</v>
      </c>
      <c r="N64" s="7">
        <v>1248</v>
      </c>
      <c r="O64" s="8" t="s">
        <v>220</v>
      </c>
      <c r="P64" s="8" t="s">
        <v>183</v>
      </c>
      <c r="Q64" s="10" cm="1">
        <f t="array" ref="Q64">_xlfn.IFS([1]!DATA[[#This Row],[TYPE]]="Normal",[1]!DATA[[#This Row],[STORAGE DAYS]]*13,[1]!DATA[[#This Row],[TYPE]]="VIP",[1]!DATA[[#This Row],[STORAGE DAYS]]*20)</f>
        <v>1677</v>
      </c>
      <c r="R64" s="11" t="str">
        <f>IF(ISBLANK([1]!DATA[[#This Row],[COLDROOM RECEIPT]]),"IN CUSTODY","DISCHARGED")</f>
        <v>DISCHARGED</v>
      </c>
    </row>
    <row r="65" spans="1:18" ht="19.8">
      <c r="A65" s="1" t="s">
        <v>278</v>
      </c>
      <c r="B65" s="2" t="s">
        <v>279</v>
      </c>
      <c r="C65" s="2">
        <v>76</v>
      </c>
      <c r="D65" s="3" t="s">
        <v>16</v>
      </c>
      <c r="E65" s="3" t="s">
        <v>280</v>
      </c>
      <c r="F65" s="4">
        <v>243985381</v>
      </c>
      <c r="G65" s="3" t="s">
        <v>11</v>
      </c>
      <c r="H65" s="5">
        <v>0.54861111111111116</v>
      </c>
      <c r="I65" s="3" t="s">
        <v>2</v>
      </c>
      <c r="J65" s="6">
        <v>45649</v>
      </c>
      <c r="K65" s="6">
        <v>45744</v>
      </c>
      <c r="L65" s="2">
        <f>IF(ISBLANK([1]!DATA[[#This Row],[DISCHARGE DATE]]),"NO DISCHARGE DATE",[1]!DATA[[#This Row],[DISCHARGE DATE]]-[1]!DATA[[#This Row],[ADMISSION DATE]]+1)</f>
        <v>96</v>
      </c>
      <c r="M65" s="7">
        <v>350</v>
      </c>
      <c r="N65" s="7">
        <v>1248</v>
      </c>
      <c r="O65" s="8" t="s">
        <v>141</v>
      </c>
      <c r="P65" s="8" t="s">
        <v>281</v>
      </c>
      <c r="Q65" s="10" cm="1">
        <f t="array" ref="Q65">_xlfn.IFS([1]!DATA[[#This Row],[TYPE]]="Normal",[1]!DATA[[#This Row],[STORAGE DAYS]]*13,[1]!DATA[[#This Row],[TYPE]]="VIP",[1]!DATA[[#This Row],[STORAGE DAYS]]*20)</f>
        <v>1248</v>
      </c>
      <c r="R65" s="11" t="str">
        <f>IF(ISBLANK([1]!DATA[[#This Row],[COLDROOM RECEIPT]]),"IN CUSTODY","DISCHARGED")</f>
        <v>DISCHARGED</v>
      </c>
    </row>
    <row r="66" spans="1:18" ht="19.8">
      <c r="A66" s="1" t="s">
        <v>282</v>
      </c>
      <c r="B66" s="2" t="s">
        <v>283</v>
      </c>
      <c r="C66" s="2">
        <v>98</v>
      </c>
      <c r="D66" s="3" t="s">
        <v>16</v>
      </c>
      <c r="E66" s="3" t="s">
        <v>284</v>
      </c>
      <c r="F66" s="4">
        <v>531655002</v>
      </c>
      <c r="G66" s="3" t="s">
        <v>1</v>
      </c>
      <c r="H66" s="5">
        <v>0.70833333333333337</v>
      </c>
      <c r="I66" s="3" t="s">
        <v>2</v>
      </c>
      <c r="J66" s="6">
        <v>45651</v>
      </c>
      <c r="K66" s="6">
        <v>45849</v>
      </c>
      <c r="L66" s="2">
        <f>IF(ISBLANK([1]!DATA[[#This Row],[DISCHARGE DATE]]),"NO DISCHARGE DATE",[1]!DATA[[#This Row],[DISCHARGE DATE]]-[1]!DATA[[#This Row],[ADMISSION DATE]]+1)</f>
        <v>96</v>
      </c>
      <c r="M66" s="7">
        <v>350</v>
      </c>
      <c r="N66" s="7">
        <v>2587</v>
      </c>
      <c r="O66" s="8" t="s">
        <v>281</v>
      </c>
      <c r="P66" s="8" t="s">
        <v>285</v>
      </c>
      <c r="Q66" s="10" cm="1">
        <f t="array" ref="Q66">_xlfn.IFS([1]!DATA[[#This Row],[TYPE]]="Normal",[1]!DATA[[#This Row],[STORAGE DAYS]]*13,[1]!DATA[[#This Row],[TYPE]]="VIP",[1]!DATA[[#This Row],[STORAGE DAYS]]*20)</f>
        <v>1248</v>
      </c>
      <c r="R66" s="11" t="str">
        <f>IF(ISBLANK([1]!DATA[[#This Row],[COLDROOM RECEIPT]]),"IN CUSTODY","DISCHARGED")</f>
        <v>DISCHARGED</v>
      </c>
    </row>
    <row r="67" spans="1:18" ht="19.8">
      <c r="A67" s="1" t="s">
        <v>286</v>
      </c>
      <c r="B67" s="2" t="s">
        <v>287</v>
      </c>
      <c r="C67" s="2">
        <v>60</v>
      </c>
      <c r="D67" s="3" t="s">
        <v>16</v>
      </c>
      <c r="E67" s="3" t="s">
        <v>288</v>
      </c>
      <c r="F67" s="4">
        <v>242779227</v>
      </c>
      <c r="G67" s="3" t="s">
        <v>1</v>
      </c>
      <c r="H67" s="5">
        <v>0.47916666666666669</v>
      </c>
      <c r="I67" s="3" t="s">
        <v>2</v>
      </c>
      <c r="J67" s="6">
        <v>45653</v>
      </c>
      <c r="K67" s="6">
        <v>45744</v>
      </c>
      <c r="L67" s="2">
        <f>IF(ISBLANK([1]!DATA[[#This Row],[DISCHARGE DATE]]),"NO DISCHARGE DATE",[1]!DATA[[#This Row],[DISCHARGE DATE]]-[1]!DATA[[#This Row],[ADMISSION DATE]]+1)</f>
        <v>199</v>
      </c>
      <c r="M67" s="7">
        <v>350</v>
      </c>
      <c r="N67" s="7">
        <v>1196</v>
      </c>
      <c r="O67" s="8" t="s">
        <v>289</v>
      </c>
      <c r="P67" s="8" t="s">
        <v>248</v>
      </c>
      <c r="Q67" s="10" cm="1">
        <f t="array" ref="Q67">_xlfn.IFS([1]!DATA[[#This Row],[TYPE]]="Normal",[1]!DATA[[#This Row],[STORAGE DAYS]]*13,[1]!DATA[[#This Row],[TYPE]]="VIP",[1]!DATA[[#This Row],[STORAGE DAYS]]*20)</f>
        <v>2587</v>
      </c>
      <c r="R67" s="11" t="str">
        <f>IF(ISBLANK([1]!DATA[[#This Row],[COLDROOM RECEIPT]]),"IN CUSTODY","DISCHARGED")</f>
        <v>DISCHARGED</v>
      </c>
    </row>
    <row r="68" spans="1:18" ht="19.8">
      <c r="A68" s="1" t="s">
        <v>290</v>
      </c>
      <c r="B68" s="2" t="s">
        <v>291</v>
      </c>
      <c r="C68" s="2">
        <v>68</v>
      </c>
      <c r="D68" s="3" t="s">
        <v>16</v>
      </c>
      <c r="E68" s="3" t="s">
        <v>292</v>
      </c>
      <c r="F68" s="4">
        <v>244413097</v>
      </c>
      <c r="G68" s="3" t="s">
        <v>1</v>
      </c>
      <c r="H68" s="5">
        <v>0.58333333333333337</v>
      </c>
      <c r="I68" s="3" t="s">
        <v>2</v>
      </c>
      <c r="J68" s="6">
        <v>45653</v>
      </c>
      <c r="K68" s="6">
        <v>45828</v>
      </c>
      <c r="L68" s="2">
        <f>IF(ISBLANK([1]!DATA[[#This Row],[DISCHARGE DATE]]),"NO DISCHARGE DATE",[1]!DATA[[#This Row],[DISCHARGE DATE]]-[1]!DATA[[#This Row],[ADMISSION DATE]]+1)</f>
        <v>92</v>
      </c>
      <c r="M68" s="7">
        <v>350</v>
      </c>
      <c r="N68" s="7">
        <v>2288</v>
      </c>
      <c r="O68" s="8" t="s">
        <v>241</v>
      </c>
      <c r="P68" s="8" t="s">
        <v>293</v>
      </c>
      <c r="Q68" s="10" cm="1">
        <f t="array" ref="Q68">_xlfn.IFS([1]!DATA[[#This Row],[TYPE]]="Normal",[1]!DATA[[#This Row],[STORAGE DAYS]]*13,[1]!DATA[[#This Row],[TYPE]]="VIP",[1]!DATA[[#This Row],[STORAGE DAYS]]*20)</f>
        <v>1196</v>
      </c>
      <c r="R68" s="11" t="str">
        <f>IF(ISBLANK([1]!DATA[[#This Row],[COLDROOM RECEIPT]]),"IN CUSTODY","DISCHARGED")</f>
        <v>DISCHARGED</v>
      </c>
    </row>
    <row r="69" spans="1:18" ht="19.8">
      <c r="A69" s="1" t="s">
        <v>294</v>
      </c>
      <c r="B69" s="2" t="s">
        <v>295</v>
      </c>
      <c r="C69" s="2">
        <v>78</v>
      </c>
      <c r="D69" s="3" t="s">
        <v>16</v>
      </c>
      <c r="E69" s="3" t="s">
        <v>214</v>
      </c>
      <c r="F69" s="4">
        <v>543526522</v>
      </c>
      <c r="G69" s="3" t="s">
        <v>18</v>
      </c>
      <c r="H69" s="5">
        <v>0.5</v>
      </c>
      <c r="I69" s="3" t="s">
        <v>2</v>
      </c>
      <c r="J69" s="6">
        <v>45656</v>
      </c>
      <c r="K69" s="6">
        <v>45807</v>
      </c>
      <c r="L69" s="2">
        <f>IF(ISBLANK([1]!DATA[[#This Row],[DISCHARGE DATE]]),"NO DISCHARGE DATE",[1]!DATA[[#This Row],[DISCHARGE DATE]]-[1]!DATA[[#This Row],[ADMISSION DATE]]+1)</f>
        <v>176</v>
      </c>
      <c r="M69" s="7">
        <v>350</v>
      </c>
      <c r="N69" s="7">
        <v>1976</v>
      </c>
      <c r="O69" s="8" t="s">
        <v>257</v>
      </c>
      <c r="P69" s="8" t="s">
        <v>296</v>
      </c>
      <c r="Q69" s="10" cm="1">
        <f t="array" ref="Q69">_xlfn.IFS([1]!DATA[[#This Row],[TYPE]]="Normal",[1]!DATA[[#This Row],[STORAGE DAYS]]*13,[1]!DATA[[#This Row],[TYPE]]="VIP",[1]!DATA[[#This Row],[STORAGE DAYS]]*20)</f>
        <v>2288</v>
      </c>
      <c r="R69" s="11" t="str">
        <f>IF(ISBLANK([1]!DATA[[#This Row],[COLDROOM RECEIPT]]),"IN CUSTODY","DISCHARGED")</f>
        <v>DISCHARGED</v>
      </c>
    </row>
    <row r="70" spans="1:18" ht="19.8">
      <c r="A70" s="1" t="s">
        <v>297</v>
      </c>
      <c r="B70" s="2" t="s">
        <v>298</v>
      </c>
      <c r="C70" s="2">
        <v>45</v>
      </c>
      <c r="D70" s="3" t="s">
        <v>16</v>
      </c>
      <c r="E70" s="3" t="s">
        <v>299</v>
      </c>
      <c r="F70" s="4">
        <v>245450963</v>
      </c>
      <c r="G70" s="3" t="s">
        <v>125</v>
      </c>
      <c r="H70" s="5">
        <v>0.47916666666666669</v>
      </c>
      <c r="I70" s="3" t="s">
        <v>145</v>
      </c>
      <c r="J70" s="6">
        <v>45657</v>
      </c>
      <c r="K70" s="6">
        <v>45772</v>
      </c>
      <c r="L70" s="2">
        <f>IF(ISBLANK([1]!DATA[[#This Row],[DISCHARGE DATE]]),"NO DISCHARGE DATE",[1]!DATA[[#This Row],[DISCHARGE DATE]]-[1]!DATA[[#This Row],[ADMISSION DATE]]+1)</f>
        <v>152</v>
      </c>
      <c r="M70" s="7">
        <v>350</v>
      </c>
      <c r="N70" s="7">
        <v>2320</v>
      </c>
      <c r="O70" s="8" t="s">
        <v>300</v>
      </c>
      <c r="P70" s="8" t="s">
        <v>301</v>
      </c>
      <c r="Q70" s="10" cm="1">
        <f t="array" ref="Q70">_xlfn.IFS([1]!DATA[[#This Row],[TYPE]]="Normal",[1]!DATA[[#This Row],[STORAGE DAYS]]*13,[1]!DATA[[#This Row],[TYPE]]="VIP",[1]!DATA[[#This Row],[STORAGE DAYS]]*20)</f>
        <v>1976</v>
      </c>
      <c r="R70" s="11" t="str">
        <f>IF(ISBLANK([1]!DATA[[#This Row],[COLDROOM RECEIPT]]),"IN CUSTODY","DISCHARGED")</f>
        <v>DISCHARGED</v>
      </c>
    </row>
    <row r="71" spans="1:18" ht="19.8">
      <c r="A71" s="1" t="s">
        <v>302</v>
      </c>
      <c r="B71" s="2" t="s">
        <v>303</v>
      </c>
      <c r="C71" s="2">
        <v>80</v>
      </c>
      <c r="D71" s="3" t="s">
        <v>16</v>
      </c>
      <c r="E71" s="3" t="s">
        <v>304</v>
      </c>
      <c r="F71" s="4">
        <v>249809015</v>
      </c>
      <c r="G71" s="3" t="s">
        <v>18</v>
      </c>
      <c r="H71" s="5">
        <v>0.33333333333333331</v>
      </c>
      <c r="I71" s="3" t="s">
        <v>2</v>
      </c>
      <c r="J71" s="6">
        <v>45658</v>
      </c>
      <c r="K71" s="6">
        <v>45772</v>
      </c>
      <c r="L71" s="2">
        <f>IF(ISBLANK([1]!DATA[[#This Row],[DISCHARGE DATE]]),"NO DISCHARGE DATE",[1]!DATA[[#This Row],[DISCHARGE DATE]]-[1]!DATA[[#This Row],[ADMISSION DATE]]+1)</f>
        <v>116</v>
      </c>
      <c r="M71" s="7">
        <v>350</v>
      </c>
      <c r="N71" s="7">
        <v>1495</v>
      </c>
      <c r="O71" s="8" t="s">
        <v>305</v>
      </c>
      <c r="P71" s="8" t="s">
        <v>306</v>
      </c>
      <c r="Q71" s="10" cm="1">
        <f t="array" ref="Q71">_xlfn.IFS([1]!DATA[[#This Row],[TYPE]]="Normal",[1]!DATA[[#This Row],[STORAGE DAYS]]*13,[1]!DATA[[#This Row],[TYPE]]="VIP",[1]!DATA[[#This Row],[STORAGE DAYS]]*20)</f>
        <v>2320</v>
      </c>
      <c r="R71" s="11" t="str">
        <f>IF(ISBLANK([1]!DATA[[#This Row],[COLDROOM RECEIPT]]),"IN CUSTODY","DISCHARGED")</f>
        <v>DISCHARGED</v>
      </c>
    </row>
    <row r="72" spans="1:18" ht="19.8">
      <c r="A72" s="1" t="s">
        <v>307</v>
      </c>
      <c r="B72" s="2" t="s">
        <v>308</v>
      </c>
      <c r="C72" s="2">
        <v>68</v>
      </c>
      <c r="D72" s="3" t="s">
        <v>0</v>
      </c>
      <c r="E72" s="3" t="s">
        <v>309</v>
      </c>
      <c r="F72" s="4">
        <v>559677861</v>
      </c>
      <c r="G72" s="3" t="s">
        <v>11</v>
      </c>
      <c r="H72" s="5">
        <v>0.70833333333333337</v>
      </c>
      <c r="I72" s="3" t="s">
        <v>145</v>
      </c>
      <c r="J72" s="6">
        <v>45664</v>
      </c>
      <c r="K72" s="6">
        <v>45771</v>
      </c>
      <c r="L72" s="2">
        <f>IF(ISBLANK([1]!DATA[[#This Row],[DISCHARGE DATE]]),"NO DISCHARGE DATE",[1]!DATA[[#This Row],[DISCHARGE DATE]]-[1]!DATA[[#This Row],[ADMISSION DATE]]+1)</f>
        <v>115</v>
      </c>
      <c r="M72" s="7">
        <v>350</v>
      </c>
      <c r="N72" s="7">
        <v>2160</v>
      </c>
      <c r="O72" s="8" t="s">
        <v>310</v>
      </c>
      <c r="P72" s="8" t="s">
        <v>311</v>
      </c>
      <c r="Q72" s="10" cm="1">
        <f t="array" ref="Q72">_xlfn.IFS([1]!DATA[[#This Row],[TYPE]]="Normal",[1]!DATA[[#This Row],[STORAGE DAYS]]*13,[1]!DATA[[#This Row],[TYPE]]="VIP",[1]!DATA[[#This Row],[STORAGE DAYS]]*20)</f>
        <v>1495</v>
      </c>
      <c r="R72" s="11" t="str">
        <f>IF(ISBLANK([1]!DATA[[#This Row],[COLDROOM RECEIPT]]),"IN CUSTODY","DISCHARGED")</f>
        <v>DISCHARGED</v>
      </c>
    </row>
    <row r="73" spans="1:18" ht="19.8">
      <c r="A73" s="1" t="s">
        <v>312</v>
      </c>
      <c r="B73" s="2" t="s">
        <v>313</v>
      </c>
      <c r="C73" s="2">
        <v>50</v>
      </c>
      <c r="D73" s="3" t="s">
        <v>0</v>
      </c>
      <c r="E73" s="3" t="s">
        <v>314</v>
      </c>
      <c r="F73" s="4">
        <v>598055074</v>
      </c>
      <c r="G73" s="3" t="s">
        <v>1</v>
      </c>
      <c r="H73" s="5">
        <v>0.47916666666666669</v>
      </c>
      <c r="I73" s="3" t="s">
        <v>2</v>
      </c>
      <c r="J73" s="6">
        <v>45666</v>
      </c>
      <c r="K73" s="6">
        <v>45744</v>
      </c>
      <c r="L73" s="2">
        <f>IF(ISBLANK([1]!DATA[[#This Row],[DISCHARGE DATE]]),"NO DISCHARGE DATE",[1]!DATA[[#This Row],[DISCHARGE DATE]]-[1]!DATA[[#This Row],[ADMISSION DATE]]+1)</f>
        <v>108</v>
      </c>
      <c r="M73" s="7">
        <v>350</v>
      </c>
      <c r="N73" s="7">
        <v>1027</v>
      </c>
      <c r="O73" s="8" t="s">
        <v>315</v>
      </c>
      <c r="P73" s="8" t="s">
        <v>289</v>
      </c>
      <c r="Q73" s="10" cm="1">
        <f t="array" ref="Q73">_xlfn.IFS([1]!DATA[[#This Row],[TYPE]]="Normal",[1]!DATA[[#This Row],[STORAGE DAYS]]*13,[1]!DATA[[#This Row],[TYPE]]="VIP",[1]!DATA[[#This Row],[STORAGE DAYS]]*20)</f>
        <v>2160</v>
      </c>
      <c r="R73" s="11" t="str">
        <f>IF(ISBLANK([1]!DATA[[#This Row],[COLDROOM RECEIPT]]),"IN CUSTODY","DISCHARGED")</f>
        <v>DISCHARGED</v>
      </c>
    </row>
    <row r="74" spans="1:18" ht="19.8">
      <c r="A74" s="1" t="s">
        <v>316</v>
      </c>
      <c r="B74" s="2" t="s">
        <v>317</v>
      </c>
      <c r="C74" s="2">
        <v>40</v>
      </c>
      <c r="D74" s="3" t="s">
        <v>0</v>
      </c>
      <c r="E74" s="3" t="s">
        <v>318</v>
      </c>
      <c r="F74" s="4">
        <v>245612360</v>
      </c>
      <c r="G74" s="3" t="s">
        <v>1</v>
      </c>
      <c r="H74" s="5">
        <v>0.35416666666666669</v>
      </c>
      <c r="I74" s="3" t="s">
        <v>2</v>
      </c>
      <c r="J74" s="6">
        <v>45673</v>
      </c>
      <c r="K74" s="6">
        <v>45744</v>
      </c>
      <c r="L74" s="2">
        <f>IF(ISBLANK([1]!DATA[[#This Row],[DISCHARGE DATE]]),"NO DISCHARGE DATE",[1]!DATA[[#This Row],[DISCHARGE DATE]]-[1]!DATA[[#This Row],[ADMISSION DATE]]+1)</f>
        <v>79</v>
      </c>
      <c r="M74" s="7">
        <v>350</v>
      </c>
      <c r="N74" s="7">
        <v>923</v>
      </c>
      <c r="O74" s="8" t="s">
        <v>319</v>
      </c>
      <c r="P74" s="8" t="s">
        <v>206</v>
      </c>
      <c r="Q74" s="10" cm="1">
        <f t="array" ref="Q74">_xlfn.IFS([1]!DATA[[#This Row],[TYPE]]="Normal",[1]!DATA[[#This Row],[STORAGE DAYS]]*13,[1]!DATA[[#This Row],[TYPE]]="VIP",[1]!DATA[[#This Row],[STORAGE DAYS]]*20)</f>
        <v>1027</v>
      </c>
      <c r="R74" s="11" t="str">
        <f>IF(ISBLANK([1]!DATA[[#This Row],[COLDROOM RECEIPT]]),"IN CUSTODY","DISCHARGED")</f>
        <v>DISCHARGED</v>
      </c>
    </row>
    <row r="75" spans="1:18" ht="19.8">
      <c r="A75" s="1" t="s">
        <v>320</v>
      </c>
      <c r="B75" s="2" t="s">
        <v>321</v>
      </c>
      <c r="C75" s="2">
        <v>30</v>
      </c>
      <c r="D75" s="3" t="s">
        <v>0</v>
      </c>
      <c r="E75" s="3" t="s">
        <v>322</v>
      </c>
      <c r="F75" s="4">
        <v>256574842</v>
      </c>
      <c r="G75" s="3" t="s">
        <v>125</v>
      </c>
      <c r="H75" s="5">
        <v>0.6875</v>
      </c>
      <c r="I75" s="3" t="s">
        <v>2</v>
      </c>
      <c r="J75" s="6">
        <v>45672</v>
      </c>
      <c r="K75" s="6">
        <v>45730</v>
      </c>
      <c r="L75" s="2">
        <f>IF(ISBLANK([1]!DATA[[#This Row],[DISCHARGE DATE]]),"NO DISCHARGE DATE",[1]!DATA[[#This Row],[DISCHARGE DATE]]-[1]!DATA[[#This Row],[ADMISSION DATE]]+1)</f>
        <v>72</v>
      </c>
      <c r="M75" s="7">
        <v>350</v>
      </c>
      <c r="N75" s="7">
        <v>767</v>
      </c>
      <c r="O75" s="8" t="s">
        <v>306</v>
      </c>
      <c r="P75" s="8" t="s">
        <v>201</v>
      </c>
      <c r="Q75" s="10" cm="1">
        <f t="array" ref="Q75">_xlfn.IFS([1]!DATA[[#This Row],[TYPE]]="Normal",[1]!DATA[[#This Row],[STORAGE DAYS]]*13,[1]!DATA[[#This Row],[TYPE]]="VIP",[1]!DATA[[#This Row],[STORAGE DAYS]]*20)</f>
        <v>936</v>
      </c>
      <c r="R75" s="11" t="str">
        <f>IF(ISBLANK([1]!DATA[[#This Row],[COLDROOM RECEIPT]]),"IN CUSTODY","DISCHARGED")</f>
        <v>DISCHARGED</v>
      </c>
    </row>
    <row r="76" spans="1:18" ht="19.8">
      <c r="A76" s="1" t="s">
        <v>323</v>
      </c>
      <c r="B76" s="2" t="s">
        <v>324</v>
      </c>
      <c r="C76" s="2">
        <v>65</v>
      </c>
      <c r="D76" s="3" t="s">
        <v>16</v>
      </c>
      <c r="E76" s="3" t="s">
        <v>325</v>
      </c>
      <c r="F76" s="4">
        <v>545091696</v>
      </c>
      <c r="G76" s="3" t="s">
        <v>1</v>
      </c>
      <c r="H76" s="5">
        <v>0.95833333333333337</v>
      </c>
      <c r="I76" s="3" t="s">
        <v>2</v>
      </c>
      <c r="J76" s="6">
        <v>45676</v>
      </c>
      <c r="K76" s="6">
        <v>45807</v>
      </c>
      <c r="L76" s="2">
        <f>IF(ISBLANK([1]!DATA[[#This Row],[DISCHARGE DATE]]),"NO DISCHARGE DATE",[1]!DATA[[#This Row],[DISCHARGE DATE]]-[1]!DATA[[#This Row],[ADMISSION DATE]]+1)</f>
        <v>59</v>
      </c>
      <c r="M76" s="7">
        <v>350</v>
      </c>
      <c r="N76" s="7">
        <v>1716</v>
      </c>
      <c r="O76" s="8" t="s">
        <v>326</v>
      </c>
      <c r="P76" s="8" t="s">
        <v>327</v>
      </c>
      <c r="Q76" s="10" cm="1">
        <f t="array" ref="Q76">_xlfn.IFS([1]!DATA[[#This Row],[TYPE]]="Normal",[1]!DATA[[#This Row],[STORAGE DAYS]]*13,[1]!DATA[[#This Row],[TYPE]]="VIP",[1]!DATA[[#This Row],[STORAGE DAYS]]*20)</f>
        <v>767</v>
      </c>
      <c r="R76" s="11" t="str">
        <f>IF(ISBLANK([1]!DATA[[#This Row],[COLDROOM RECEIPT]]),"IN CUSTODY","DISCHARGED")</f>
        <v>DISCHARGED</v>
      </c>
    </row>
    <row r="77" spans="1:18" ht="19.8">
      <c r="A77" s="1" t="s">
        <v>328</v>
      </c>
      <c r="B77" s="2" t="s">
        <v>329</v>
      </c>
      <c r="C77" s="2">
        <v>49</v>
      </c>
      <c r="D77" s="3" t="s">
        <v>16</v>
      </c>
      <c r="E77" s="3" t="s">
        <v>330</v>
      </c>
      <c r="F77" s="4">
        <v>545889088</v>
      </c>
      <c r="G77" s="3" t="s">
        <v>1</v>
      </c>
      <c r="H77" s="5">
        <v>0.95833333333333337</v>
      </c>
      <c r="I77" s="3" t="s">
        <v>2</v>
      </c>
      <c r="J77" s="6">
        <v>45675</v>
      </c>
      <c r="K77" s="6">
        <v>45772</v>
      </c>
      <c r="L77" s="2">
        <f>IF(ISBLANK([1]!DATA[[#This Row],[DISCHARGE DATE]]),"NO DISCHARGE DATE",[1]!DATA[[#This Row],[DISCHARGE DATE]]-[1]!DATA[[#This Row],[ADMISSION DATE]]+1)</f>
        <v>132</v>
      </c>
      <c r="M77" s="7">
        <v>350</v>
      </c>
      <c r="N77" s="7">
        <v>1274</v>
      </c>
      <c r="O77" s="8" t="s">
        <v>274</v>
      </c>
      <c r="P77" s="8" t="s">
        <v>331</v>
      </c>
      <c r="Q77" s="10" cm="1">
        <f t="array" ref="Q77">_xlfn.IFS([1]!DATA[[#This Row],[TYPE]]="Normal",[1]!DATA[[#This Row],[STORAGE DAYS]]*13,[1]!DATA[[#This Row],[TYPE]]="VIP",[1]!DATA[[#This Row],[STORAGE DAYS]]*20)</f>
        <v>1716</v>
      </c>
      <c r="R77" s="11" t="str">
        <f>IF(ISBLANK([1]!DATA[[#This Row],[COLDROOM RECEIPT]]),"IN CUSTODY","DISCHARGED")</f>
        <v>DISCHARGED</v>
      </c>
    </row>
    <row r="78" spans="1:18" ht="19.8">
      <c r="A78" s="1" t="s">
        <v>332</v>
      </c>
      <c r="B78" s="2" t="s">
        <v>333</v>
      </c>
      <c r="C78" s="2">
        <v>65</v>
      </c>
      <c r="D78" s="3" t="s">
        <v>16</v>
      </c>
      <c r="E78" s="3" t="s">
        <v>334</v>
      </c>
      <c r="F78" s="4">
        <v>242462633</v>
      </c>
      <c r="G78" s="3" t="s">
        <v>1</v>
      </c>
      <c r="H78" s="5">
        <v>0.51041666666666663</v>
      </c>
      <c r="I78" s="3" t="s">
        <v>2</v>
      </c>
      <c r="J78" s="6">
        <v>45679</v>
      </c>
      <c r="K78" s="6">
        <v>45744</v>
      </c>
      <c r="L78" s="2">
        <f>IF(ISBLANK([1]!DATA[[#This Row],[DISCHARGE DATE]]),"NO DISCHARGE DATE",[1]!DATA[[#This Row],[DISCHARGE DATE]]-[1]!DATA[[#This Row],[ADMISSION DATE]]+1)</f>
        <v>98</v>
      </c>
      <c r="M78" s="7">
        <v>350</v>
      </c>
      <c r="N78" s="7">
        <v>858</v>
      </c>
      <c r="O78" s="8" t="s">
        <v>207</v>
      </c>
      <c r="P78" s="8" t="s">
        <v>256</v>
      </c>
      <c r="Q78" s="10" cm="1">
        <f t="array" ref="Q78">_xlfn.IFS([1]!DATA[[#This Row],[TYPE]]="Normal",[1]!DATA[[#This Row],[STORAGE DAYS]]*13,[1]!DATA[[#This Row],[TYPE]]="VIP",[1]!DATA[[#This Row],[STORAGE DAYS]]*20)</f>
        <v>1274</v>
      </c>
      <c r="R78" s="11" t="str">
        <f>IF(ISBLANK([1]!DATA[[#This Row],[COLDROOM RECEIPT]]),"IN CUSTODY","DISCHARGED")</f>
        <v>DISCHARGED</v>
      </c>
    </row>
    <row r="79" spans="1:18" ht="19.8">
      <c r="A79" s="1" t="s">
        <v>335</v>
      </c>
      <c r="B79" s="2" t="s">
        <v>336</v>
      </c>
      <c r="C79" s="2">
        <v>55</v>
      </c>
      <c r="D79" s="3" t="s">
        <v>0</v>
      </c>
      <c r="E79" s="3" t="s">
        <v>337</v>
      </c>
      <c r="F79" s="4">
        <v>249088103</v>
      </c>
      <c r="G79" s="3" t="s">
        <v>1</v>
      </c>
      <c r="H79" s="5">
        <v>0.71875</v>
      </c>
      <c r="I79" s="3" t="s">
        <v>2</v>
      </c>
      <c r="J79" s="6">
        <v>45683</v>
      </c>
      <c r="K79" s="6">
        <v>45709</v>
      </c>
      <c r="L79" s="2">
        <f>IF(ISBLANK([1]!DATA[[#This Row],[DISCHARGE DATE]]),"NO DISCHARGE DATE",[1]!DATA[[#This Row],[DISCHARGE DATE]]-[1]!DATA[[#This Row],[ADMISSION DATE]]+1)</f>
        <v>66</v>
      </c>
      <c r="M79" s="7">
        <v>350</v>
      </c>
      <c r="N79" s="7">
        <v>351</v>
      </c>
      <c r="O79" s="8" t="s">
        <v>331</v>
      </c>
      <c r="P79" s="8" t="s">
        <v>140</v>
      </c>
      <c r="Q79" s="10" cm="1">
        <f t="array" ref="Q79">_xlfn.IFS([1]!DATA[[#This Row],[TYPE]]="Normal",[1]!DATA[[#This Row],[STORAGE DAYS]]*13,[1]!DATA[[#This Row],[TYPE]]="VIP",[1]!DATA[[#This Row],[STORAGE DAYS]]*20)</f>
        <v>858</v>
      </c>
      <c r="R79" s="11" t="str">
        <f>IF(ISBLANK([1]!DATA[[#This Row],[COLDROOM RECEIPT]]),"IN CUSTODY","DISCHARGED")</f>
        <v>DISCHARGED</v>
      </c>
    </row>
    <row r="80" spans="1:18" ht="19.8">
      <c r="A80" s="1" t="s">
        <v>338</v>
      </c>
      <c r="B80" s="2" t="s">
        <v>339</v>
      </c>
      <c r="C80" s="2">
        <v>32</v>
      </c>
      <c r="D80" s="3" t="s">
        <v>0</v>
      </c>
      <c r="E80" s="3" t="s">
        <v>340</v>
      </c>
      <c r="F80" s="4">
        <v>552564368</v>
      </c>
      <c r="G80" s="3" t="s">
        <v>11</v>
      </c>
      <c r="H80" s="5">
        <v>0.36805555555555558</v>
      </c>
      <c r="I80" s="3" t="s">
        <v>2</v>
      </c>
      <c r="J80" s="6">
        <v>45684</v>
      </c>
      <c r="K80" s="6">
        <v>45989</v>
      </c>
      <c r="L80" s="2">
        <f>IF(ISBLANK([1]!DATA[[#This Row],[DISCHARGE DATE]]),"NO DISCHARGE DATE",[1]!DATA[[#This Row],[DISCHARGE DATE]]-[1]!DATA[[#This Row],[ADMISSION DATE]]+1)</f>
        <v>27</v>
      </c>
      <c r="M80" s="7">
        <v>350</v>
      </c>
      <c r="N80" s="7">
        <v>3978</v>
      </c>
      <c r="O80" s="8" t="s">
        <v>341</v>
      </c>
      <c r="P80" s="8" t="s">
        <v>342</v>
      </c>
      <c r="Q80" s="10" cm="1">
        <f t="array" ref="Q80">_xlfn.IFS([1]!DATA[[#This Row],[TYPE]]="Normal",[1]!DATA[[#This Row],[STORAGE DAYS]]*13,[1]!DATA[[#This Row],[TYPE]]="VIP",[1]!DATA[[#This Row],[STORAGE DAYS]]*20)</f>
        <v>351</v>
      </c>
      <c r="R80" s="11" t="str">
        <f>IF(ISBLANK([1]!DATA[[#This Row],[COLDROOM RECEIPT]]),"IN CUSTODY","DISCHARGED")</f>
        <v>DISCHARGED</v>
      </c>
    </row>
    <row r="81" spans="1:18" ht="19.8">
      <c r="A81" s="1" t="s">
        <v>343</v>
      </c>
      <c r="B81" s="2" t="s">
        <v>344</v>
      </c>
      <c r="C81" s="2">
        <v>30</v>
      </c>
      <c r="D81" s="3" t="s">
        <v>16</v>
      </c>
      <c r="E81" s="3" t="s">
        <v>345</v>
      </c>
      <c r="F81" s="4">
        <v>556802105</v>
      </c>
      <c r="G81" s="3" t="s">
        <v>156</v>
      </c>
      <c r="H81" s="5">
        <v>0.21875</v>
      </c>
      <c r="I81" s="3" t="s">
        <v>2</v>
      </c>
      <c r="J81" s="6">
        <v>45684</v>
      </c>
      <c r="K81" s="6">
        <v>45849</v>
      </c>
      <c r="L81" s="2">
        <f>IF(ISBLANK([1]!DATA[[#This Row],[DISCHARGE DATE]]),"NO DISCHARGE DATE",[1]!DATA[[#This Row],[DISCHARGE DATE]]-[1]!DATA[[#This Row],[ADMISSION DATE]]+1)</f>
        <v>306</v>
      </c>
      <c r="M81" s="7">
        <v>350</v>
      </c>
      <c r="N81" s="7">
        <v>2158</v>
      </c>
      <c r="O81" s="8" t="s">
        <v>196</v>
      </c>
      <c r="P81" s="8" t="s">
        <v>346</v>
      </c>
      <c r="Q81" s="10" cm="1">
        <f t="array" ref="Q81">_xlfn.IFS([1]!DATA[[#This Row],[TYPE]]="Normal",[1]!DATA[[#This Row],[STORAGE DAYS]]*13,[1]!DATA[[#This Row],[TYPE]]="VIP",[1]!DATA[[#This Row],[STORAGE DAYS]]*20)</f>
        <v>3978</v>
      </c>
      <c r="R81" s="11" t="str">
        <f>IF(ISBLANK([1]!DATA[[#This Row],[COLDROOM RECEIPT]]),"IN CUSTODY","DISCHARGED")</f>
        <v>DISCHARGED</v>
      </c>
    </row>
    <row r="82" spans="1:18" ht="19.8">
      <c r="A82" s="1" t="s">
        <v>347</v>
      </c>
      <c r="B82" s="2" t="s">
        <v>348</v>
      </c>
      <c r="C82" s="2">
        <v>77</v>
      </c>
      <c r="D82" s="3" t="s">
        <v>0</v>
      </c>
      <c r="E82" s="3" t="s">
        <v>349</v>
      </c>
      <c r="F82" s="4">
        <v>544885861</v>
      </c>
      <c r="G82" s="3" t="s">
        <v>350</v>
      </c>
      <c r="H82" s="5">
        <v>0.45833333333333331</v>
      </c>
      <c r="I82" s="3" t="s">
        <v>2</v>
      </c>
      <c r="J82" s="6">
        <v>45688</v>
      </c>
      <c r="K82" s="6">
        <v>45814</v>
      </c>
      <c r="L82" s="2">
        <f>IF(ISBLANK([1]!DATA[[#This Row],[DISCHARGE DATE]]),"NO DISCHARGE DATE",[1]!DATA[[#This Row],[DISCHARGE DATE]]-[1]!DATA[[#This Row],[ADMISSION DATE]]+1)</f>
        <v>166</v>
      </c>
      <c r="M82" s="7">
        <v>350</v>
      </c>
      <c r="N82" s="7">
        <v>1651</v>
      </c>
      <c r="O82" s="8" t="s">
        <v>351</v>
      </c>
      <c r="P82" s="8" t="s">
        <v>352</v>
      </c>
      <c r="Q82" s="10" cm="1">
        <f t="array" ref="Q82">_xlfn.IFS([1]!DATA[[#This Row],[TYPE]]="Normal",[1]!DATA[[#This Row],[STORAGE DAYS]]*13,[1]!DATA[[#This Row],[TYPE]]="VIP",[1]!DATA[[#This Row],[STORAGE DAYS]]*20)</f>
        <v>2158</v>
      </c>
      <c r="R82" s="11" t="str">
        <f>IF(ISBLANK([1]!DATA[[#This Row],[COLDROOM RECEIPT]]),"IN CUSTODY","DISCHARGED")</f>
        <v>DISCHARGED</v>
      </c>
    </row>
    <row r="83" spans="1:18" ht="19.8">
      <c r="A83" s="1" t="s">
        <v>353</v>
      </c>
      <c r="B83" s="2" t="s">
        <v>329</v>
      </c>
      <c r="C83" s="2">
        <v>52</v>
      </c>
      <c r="D83" s="3" t="s">
        <v>16</v>
      </c>
      <c r="E83" s="3" t="s">
        <v>354</v>
      </c>
      <c r="F83" s="4">
        <v>540819359</v>
      </c>
      <c r="G83" s="3" t="s">
        <v>1</v>
      </c>
      <c r="H83" s="5">
        <v>0.625</v>
      </c>
      <c r="I83" s="3" t="s">
        <v>2</v>
      </c>
      <c r="J83" s="6">
        <v>45687</v>
      </c>
      <c r="K83" s="6">
        <v>45744</v>
      </c>
      <c r="L83" s="2">
        <f>IF(ISBLANK([1]!DATA[[#This Row],[DISCHARGE DATE]]),"NO DISCHARGE DATE",[1]!DATA[[#This Row],[DISCHARGE DATE]]-[1]!DATA[[#This Row],[ADMISSION DATE]]+1)</f>
        <v>127</v>
      </c>
      <c r="M83" s="7">
        <v>350</v>
      </c>
      <c r="N83" s="7">
        <v>754</v>
      </c>
      <c r="O83" s="8" t="s">
        <v>311</v>
      </c>
      <c r="P83" s="8" t="s">
        <v>273</v>
      </c>
      <c r="Q83" s="10" cm="1">
        <f t="array" ref="Q83">_xlfn.IFS([1]!DATA[[#This Row],[TYPE]]="Normal",[1]!DATA[[#This Row],[STORAGE DAYS]]*13,[1]!DATA[[#This Row],[TYPE]]="VIP",[1]!DATA[[#This Row],[STORAGE DAYS]]*20)</f>
        <v>1651</v>
      </c>
      <c r="R83" s="11" t="str">
        <f>IF(ISBLANK([1]!DATA[[#This Row],[COLDROOM RECEIPT]]),"IN CUSTODY","DISCHARGED")</f>
        <v>DISCHARGED</v>
      </c>
    </row>
    <row r="84" spans="1:18" ht="19.8">
      <c r="A84" s="1" t="s">
        <v>355</v>
      </c>
      <c r="B84" s="2" t="s">
        <v>356</v>
      </c>
      <c r="C84" s="2">
        <v>46</v>
      </c>
      <c r="D84" s="3" t="s">
        <v>0</v>
      </c>
      <c r="E84" s="3" t="s">
        <v>357</v>
      </c>
      <c r="F84" s="4">
        <v>598739622</v>
      </c>
      <c r="G84" s="3" t="s">
        <v>11</v>
      </c>
      <c r="H84" s="5">
        <v>0.66666666666666663</v>
      </c>
      <c r="I84" s="3" t="s">
        <v>2</v>
      </c>
      <c r="J84" s="6">
        <v>45690</v>
      </c>
      <c r="K84" s="6">
        <v>45709</v>
      </c>
      <c r="L84" s="2">
        <f>IF(ISBLANK([1]!DATA[[#This Row],[DISCHARGE DATE]]),"NO DISCHARGE DATE",[1]!DATA[[#This Row],[DISCHARGE DATE]]-[1]!DATA[[#This Row],[ADMISSION DATE]]+1)</f>
        <v>58</v>
      </c>
      <c r="M84" s="7">
        <v>350</v>
      </c>
      <c r="N84" s="7">
        <v>260</v>
      </c>
      <c r="O84" s="8" t="s">
        <v>147</v>
      </c>
      <c r="P84" s="8" t="s">
        <v>157</v>
      </c>
      <c r="Q84" s="10" cm="1">
        <f t="array" ref="Q84">_xlfn.IFS([1]!DATA[[#This Row],[TYPE]]="Normal",[1]!DATA[[#This Row],[STORAGE DAYS]]*13,[1]!DATA[[#This Row],[TYPE]]="VIP",[1]!DATA[[#This Row],[STORAGE DAYS]]*20)</f>
        <v>754</v>
      </c>
      <c r="R84" s="11" t="str">
        <f>IF(ISBLANK([1]!DATA[[#This Row],[COLDROOM RECEIPT]]),"IN CUSTODY","DISCHARGED")</f>
        <v>DISCHARGED</v>
      </c>
    </row>
    <row r="85" spans="1:18" ht="19.8">
      <c r="A85" s="1" t="s">
        <v>358</v>
      </c>
      <c r="B85" s="2" t="s">
        <v>359</v>
      </c>
      <c r="C85" s="2">
        <v>90</v>
      </c>
      <c r="D85" s="3" t="s">
        <v>16</v>
      </c>
      <c r="E85" s="3" t="s">
        <v>360</v>
      </c>
      <c r="F85" s="4">
        <v>542052299</v>
      </c>
      <c r="G85" s="3" t="s">
        <v>11</v>
      </c>
      <c r="H85" s="5">
        <v>0.16666666666666666</v>
      </c>
      <c r="I85" s="3" t="s">
        <v>145</v>
      </c>
      <c r="J85" s="6">
        <v>45692</v>
      </c>
      <c r="K85" s="6">
        <v>45806</v>
      </c>
      <c r="L85" s="2">
        <f>IF(ISBLANK([1]!DATA[[#This Row],[DISCHARGE DATE]]),"NO DISCHARGE DATE",[1]!DATA[[#This Row],[DISCHARGE DATE]]-[1]!DATA[[#This Row],[ADMISSION DATE]]+1)</f>
        <v>20</v>
      </c>
      <c r="M85" s="7">
        <v>350</v>
      </c>
      <c r="N85" s="7">
        <v>2300</v>
      </c>
      <c r="O85" s="8" t="s">
        <v>301</v>
      </c>
      <c r="P85" s="8" t="s">
        <v>211</v>
      </c>
      <c r="Q85" s="10" cm="1">
        <f t="array" ref="Q85">_xlfn.IFS([1]!DATA[[#This Row],[TYPE]]="Normal",[1]!DATA[[#This Row],[STORAGE DAYS]]*13,[1]!DATA[[#This Row],[TYPE]]="VIP",[1]!DATA[[#This Row],[STORAGE DAYS]]*20)</f>
        <v>260</v>
      </c>
      <c r="R85" s="11" t="str">
        <f>IF(ISBLANK([1]!DATA[[#This Row],[COLDROOM RECEIPT]]),"IN CUSTODY","DISCHARGED")</f>
        <v>DISCHARGED</v>
      </c>
    </row>
    <row r="86" spans="1:18" ht="19.8">
      <c r="A86" s="1" t="s">
        <v>361</v>
      </c>
      <c r="B86" s="2" t="s">
        <v>362</v>
      </c>
      <c r="C86" s="2">
        <v>20</v>
      </c>
      <c r="D86" s="3" t="s">
        <v>16</v>
      </c>
      <c r="E86" s="3" t="s">
        <v>363</v>
      </c>
      <c r="F86" s="4">
        <v>242002826</v>
      </c>
      <c r="G86" s="3" t="s">
        <v>1</v>
      </c>
      <c r="H86" s="5">
        <v>0.29166666666666669</v>
      </c>
      <c r="I86" s="3" t="s">
        <v>2</v>
      </c>
      <c r="J86" s="6">
        <v>45692</v>
      </c>
      <c r="K86" s="6">
        <v>45849</v>
      </c>
      <c r="L86" s="2">
        <f>IF(ISBLANK([1]!DATA[[#This Row],[DISCHARGE DATE]]),"NO DISCHARGE DATE",[1]!DATA[[#This Row],[DISCHARGE DATE]]-[1]!DATA[[#This Row],[ADMISSION DATE]]+1)</f>
        <v>115</v>
      </c>
      <c r="M86" s="7">
        <v>350</v>
      </c>
      <c r="N86" s="7">
        <v>1885</v>
      </c>
      <c r="O86" s="8" t="s">
        <v>56</v>
      </c>
      <c r="P86" s="8" t="s">
        <v>364</v>
      </c>
      <c r="Q86" s="10" cm="1">
        <f t="array" ref="Q86">_xlfn.IFS([1]!DATA[[#This Row],[TYPE]]="Normal",[1]!DATA[[#This Row],[STORAGE DAYS]]*13,[1]!DATA[[#This Row],[TYPE]]="VIP",[1]!DATA[[#This Row],[STORAGE DAYS]]*20)</f>
        <v>2300</v>
      </c>
      <c r="R86" s="11" t="str">
        <f>IF(ISBLANK([1]!DATA[[#This Row],[COLDROOM RECEIPT]]),"IN CUSTODY","DISCHARGED")</f>
        <v>DISCHARGED</v>
      </c>
    </row>
    <row r="87" spans="1:18" ht="19.8">
      <c r="A87" s="1" t="s">
        <v>365</v>
      </c>
      <c r="B87" s="2" t="s">
        <v>366</v>
      </c>
      <c r="C87" s="2">
        <v>54</v>
      </c>
      <c r="D87" s="3" t="s">
        <v>0</v>
      </c>
      <c r="E87" s="3" t="s">
        <v>367</v>
      </c>
      <c r="F87" s="4">
        <v>543530422</v>
      </c>
      <c r="G87" s="3" t="s">
        <v>125</v>
      </c>
      <c r="H87" s="5">
        <v>0.6875</v>
      </c>
      <c r="I87" s="3" t="s">
        <v>2</v>
      </c>
      <c r="J87" s="6">
        <v>45692</v>
      </c>
      <c r="K87" s="6">
        <v>45856</v>
      </c>
      <c r="L87" s="2">
        <f>IF(ISBLANK([1]!DATA[[#This Row],[DISCHARGE DATE]]),"NO DISCHARGE DATE",[1]!DATA[[#This Row],[DISCHARGE DATE]]-[1]!DATA[[#This Row],[ADMISSION DATE]]+1)</f>
        <v>158</v>
      </c>
      <c r="M87" s="7">
        <v>350</v>
      </c>
      <c r="N87" s="7">
        <v>2145</v>
      </c>
      <c r="O87" s="8" t="s">
        <v>85</v>
      </c>
      <c r="P87" s="8" t="s">
        <v>368</v>
      </c>
      <c r="Q87" s="10" cm="1">
        <f t="array" ref="Q87">_xlfn.IFS([1]!DATA[[#This Row],[TYPE]]="Normal",[1]!DATA[[#This Row],[STORAGE DAYS]]*13,[1]!DATA[[#This Row],[TYPE]]="VIP",[1]!DATA[[#This Row],[STORAGE DAYS]]*20)</f>
        <v>2054</v>
      </c>
      <c r="R87" s="11" t="str">
        <f>IF(ISBLANK([1]!DATA[[#This Row],[COLDROOM RECEIPT]]),"IN CUSTODY","DISCHARGED")</f>
        <v>DISCHARGED</v>
      </c>
    </row>
    <row r="88" spans="1:18" ht="19.8">
      <c r="A88" s="1" t="s">
        <v>369</v>
      </c>
      <c r="B88" s="2" t="s">
        <v>370</v>
      </c>
      <c r="C88" s="2">
        <v>66</v>
      </c>
      <c r="D88" s="3" t="s">
        <v>0</v>
      </c>
      <c r="E88" s="3" t="s">
        <v>360</v>
      </c>
      <c r="F88" s="4">
        <v>246425796</v>
      </c>
      <c r="G88" s="3" t="s">
        <v>1</v>
      </c>
      <c r="H88" s="5">
        <v>0.8125</v>
      </c>
      <c r="I88" s="3" t="s">
        <v>2</v>
      </c>
      <c r="J88" s="6">
        <v>45692</v>
      </c>
      <c r="K88" s="6">
        <v>45744</v>
      </c>
      <c r="L88" s="2">
        <f>IF(ISBLANK([1]!DATA[[#This Row],[DISCHARGE DATE]]),"NO DISCHARGE DATE",[1]!DATA[[#This Row],[DISCHARGE DATE]]-[1]!DATA[[#This Row],[ADMISSION DATE]]+1)</f>
        <v>165</v>
      </c>
      <c r="M88" s="7">
        <v>350</v>
      </c>
      <c r="N88" s="7">
        <v>689</v>
      </c>
      <c r="O88" s="8" t="s">
        <v>371</v>
      </c>
      <c r="P88" s="8" t="s">
        <v>237</v>
      </c>
      <c r="Q88" s="10" cm="1">
        <f t="array" ref="Q88">_xlfn.IFS([1]!DATA[[#This Row],[TYPE]]="Normal",[1]!DATA[[#This Row],[STORAGE DAYS]]*13,[1]!DATA[[#This Row],[TYPE]]="VIP",[1]!DATA[[#This Row],[STORAGE DAYS]]*20)</f>
        <v>2145</v>
      </c>
      <c r="R88" s="11" t="str">
        <f>IF(ISBLANK([1]!DATA[[#This Row],[COLDROOM RECEIPT]]),"IN CUSTODY","DISCHARGED")</f>
        <v>DISCHARGED</v>
      </c>
    </row>
    <row r="89" spans="1:18" ht="19.8">
      <c r="A89" s="1" t="s">
        <v>372</v>
      </c>
      <c r="B89" s="2" t="s">
        <v>373</v>
      </c>
      <c r="C89" s="2">
        <v>49</v>
      </c>
      <c r="D89" s="3" t="s">
        <v>0</v>
      </c>
      <c r="E89" s="3" t="s">
        <v>374</v>
      </c>
      <c r="F89" s="4">
        <v>247200542</v>
      </c>
      <c r="G89" s="3" t="s">
        <v>1</v>
      </c>
      <c r="H89" s="5">
        <v>0.52083333333333337</v>
      </c>
      <c r="I89" s="3" t="s">
        <v>2</v>
      </c>
      <c r="J89" s="6">
        <v>45694</v>
      </c>
      <c r="K89" s="6">
        <v>45700</v>
      </c>
      <c r="L89" s="2">
        <f>IF(ISBLANK([1]!DATA[[#This Row],[DISCHARGE DATE]]),"NO DISCHARGE DATE",[1]!DATA[[#This Row],[DISCHARGE DATE]]-[1]!DATA[[#This Row],[ADMISSION DATE]]+1)</f>
        <v>53</v>
      </c>
      <c r="M89" s="7">
        <v>350</v>
      </c>
      <c r="N89" s="7">
        <v>91</v>
      </c>
      <c r="O89" s="8" t="s">
        <v>364</v>
      </c>
      <c r="P89" s="8" t="s">
        <v>126</v>
      </c>
      <c r="Q89" s="10" cm="1">
        <f t="array" ref="Q89">_xlfn.IFS([1]!DATA[[#This Row],[TYPE]]="Normal",[1]!DATA[[#This Row],[STORAGE DAYS]]*13,[1]!DATA[[#This Row],[TYPE]]="VIP",[1]!DATA[[#This Row],[STORAGE DAYS]]*20)</f>
        <v>689</v>
      </c>
      <c r="R89" s="11" t="str">
        <f>IF(ISBLANK([1]!DATA[[#This Row],[COLDROOM RECEIPT]]),"IN CUSTODY","DISCHARGED")</f>
        <v>DISCHARGED</v>
      </c>
    </row>
    <row r="90" spans="1:18" ht="19.8">
      <c r="A90" s="1" t="s">
        <v>375</v>
      </c>
      <c r="B90" s="2" t="s">
        <v>376</v>
      </c>
      <c r="C90" s="2">
        <v>66</v>
      </c>
      <c r="D90" s="3" t="s">
        <v>16</v>
      </c>
      <c r="E90" s="3" t="s">
        <v>377</v>
      </c>
      <c r="F90" s="4">
        <v>246282426</v>
      </c>
      <c r="G90" s="3" t="s">
        <v>1</v>
      </c>
      <c r="H90" s="5">
        <v>0.6875</v>
      </c>
      <c r="I90" s="3" t="s">
        <v>2</v>
      </c>
      <c r="J90" s="6">
        <v>45697</v>
      </c>
      <c r="K90" s="6">
        <v>45744</v>
      </c>
      <c r="L90" s="2">
        <f>IF(ISBLANK([1]!DATA[[#This Row],[DISCHARGE DATE]]),"NO DISCHARGE DATE",[1]!DATA[[#This Row],[DISCHARGE DATE]]-[1]!DATA[[#This Row],[ADMISSION DATE]]+1)</f>
        <v>7</v>
      </c>
      <c r="M90" s="7">
        <v>350</v>
      </c>
      <c r="N90" s="7">
        <v>624</v>
      </c>
      <c r="O90" s="8" t="s">
        <v>191</v>
      </c>
      <c r="P90" s="8" t="s">
        <v>252</v>
      </c>
      <c r="Q90" s="10" cm="1">
        <f t="array" ref="Q90">_xlfn.IFS([1]!DATA[[#This Row],[TYPE]]="Normal",[1]!DATA[[#This Row],[STORAGE DAYS]]*13,[1]!DATA[[#This Row],[TYPE]]="VIP",[1]!DATA[[#This Row],[STORAGE DAYS]]*20)</f>
        <v>91</v>
      </c>
      <c r="R90" s="11" t="str">
        <f>IF(ISBLANK([1]!DATA[[#This Row],[COLDROOM RECEIPT]]),"IN CUSTODY","DISCHARGED")</f>
        <v>DISCHARGED</v>
      </c>
    </row>
    <row r="91" spans="1:18" ht="19.8">
      <c r="A91" s="1" t="s">
        <v>378</v>
      </c>
      <c r="B91" s="2" t="s">
        <v>379</v>
      </c>
      <c r="C91" s="2">
        <v>80</v>
      </c>
      <c r="D91" s="3" t="s">
        <v>16</v>
      </c>
      <c r="E91" s="3" t="s">
        <v>380</v>
      </c>
      <c r="F91" s="4">
        <v>245060415</v>
      </c>
      <c r="G91" s="3" t="s">
        <v>1</v>
      </c>
      <c r="H91" s="5">
        <v>0.625</v>
      </c>
      <c r="I91" s="3" t="s">
        <v>2</v>
      </c>
      <c r="J91" s="6">
        <v>45695</v>
      </c>
      <c r="K91" s="6">
        <v>45898</v>
      </c>
      <c r="L91" s="2">
        <f>IF(ISBLANK([1]!DATA[[#This Row],[DISCHARGE DATE]]),"NO DISCHARGE DATE",[1]!DATA[[#This Row],[DISCHARGE DATE]]-[1]!DATA[[#This Row],[ADMISSION DATE]]+1)</f>
        <v>48</v>
      </c>
      <c r="M91" s="7">
        <v>350</v>
      </c>
      <c r="N91" s="7">
        <v>2652</v>
      </c>
      <c r="O91" s="8" t="s">
        <v>233</v>
      </c>
      <c r="P91" s="8" t="s">
        <v>381</v>
      </c>
      <c r="Q91" s="10" cm="1">
        <f t="array" ref="Q91">_xlfn.IFS([1]!DATA[[#This Row],[TYPE]]="Normal",[1]!DATA[[#This Row],[STORAGE DAYS]]*13,[1]!DATA[[#This Row],[TYPE]]="VIP",[1]!DATA[[#This Row],[STORAGE DAYS]]*20)</f>
        <v>624</v>
      </c>
      <c r="R91" s="11" t="str">
        <f>IF(ISBLANK([1]!DATA[[#This Row],[COLDROOM RECEIPT]]),"IN CUSTODY","DISCHARGED")</f>
        <v>DISCHARGED</v>
      </c>
    </row>
    <row r="92" spans="1:18" ht="19.8">
      <c r="A92" s="1" t="s">
        <v>382</v>
      </c>
      <c r="B92" s="2" t="s">
        <v>383</v>
      </c>
      <c r="C92" s="2">
        <v>65</v>
      </c>
      <c r="D92" s="3" t="s">
        <v>0</v>
      </c>
      <c r="E92" s="3" t="s">
        <v>384</v>
      </c>
      <c r="F92" s="4">
        <v>540831968</v>
      </c>
      <c r="G92" s="3" t="s">
        <v>1</v>
      </c>
      <c r="H92" s="5">
        <v>0.61805555555555558</v>
      </c>
      <c r="I92" s="3" t="s">
        <v>145</v>
      </c>
      <c r="J92" s="6">
        <v>45699</v>
      </c>
      <c r="K92" s="6">
        <v>45870</v>
      </c>
      <c r="L92" s="2">
        <f>IF(ISBLANK([1]!DATA[[#This Row],[DISCHARGE DATE]]),"NO DISCHARGE DATE",[1]!DATA[[#This Row],[DISCHARGE DATE]]-[1]!DATA[[#This Row],[ADMISSION DATE]]+1)</f>
        <v>204</v>
      </c>
      <c r="M92" s="7">
        <v>350</v>
      </c>
      <c r="N92" s="7">
        <v>3440</v>
      </c>
      <c r="O92" s="8" t="s">
        <v>385</v>
      </c>
      <c r="P92" s="8" t="s">
        <v>386</v>
      </c>
      <c r="Q92" s="10" cm="1">
        <f t="array" ref="Q92">_xlfn.IFS([1]!DATA[[#This Row],[TYPE]]="Normal",[1]!DATA[[#This Row],[STORAGE DAYS]]*13,[1]!DATA[[#This Row],[TYPE]]="VIP",[1]!DATA[[#This Row],[STORAGE DAYS]]*20)</f>
        <v>2652</v>
      </c>
      <c r="R92" s="11" t="str">
        <f>IF(ISBLANK([1]!DATA[[#This Row],[COLDROOM RECEIPT]]),"IN CUSTODY","DISCHARGED")</f>
        <v>DISCHARGED</v>
      </c>
    </row>
    <row r="93" spans="1:18" ht="19.8">
      <c r="A93" s="1" t="s">
        <v>387</v>
      </c>
      <c r="B93" s="2" t="s">
        <v>388</v>
      </c>
      <c r="C93" s="2">
        <v>68</v>
      </c>
      <c r="D93" s="3" t="s">
        <v>0</v>
      </c>
      <c r="E93" s="3" t="s">
        <v>389</v>
      </c>
      <c r="F93" s="4">
        <v>245614439</v>
      </c>
      <c r="G93" s="3" t="s">
        <v>1</v>
      </c>
      <c r="H93" s="5">
        <v>0.52083333333333337</v>
      </c>
      <c r="I93" s="3" t="s">
        <v>2</v>
      </c>
      <c r="J93" s="6">
        <v>45705</v>
      </c>
      <c r="K93" s="6">
        <v>45772</v>
      </c>
      <c r="L93" s="2">
        <f>IF(ISBLANK([1]!DATA[[#This Row],[DISCHARGE DATE]]),"NO DISCHARGE DATE",[1]!DATA[[#This Row],[DISCHARGE DATE]]-[1]!DATA[[#This Row],[ADMISSION DATE]]+1)</f>
        <v>172</v>
      </c>
      <c r="M93" s="7">
        <v>350</v>
      </c>
      <c r="N93" s="7">
        <v>884</v>
      </c>
      <c r="O93" s="8" t="s">
        <v>390</v>
      </c>
      <c r="P93" s="8" t="s">
        <v>351</v>
      </c>
      <c r="Q93" s="10" cm="1">
        <f t="array" ref="Q93">_xlfn.IFS([1]!DATA[[#This Row],[TYPE]]="Normal",[1]!DATA[[#This Row],[STORAGE DAYS]]*13,[1]!DATA[[#This Row],[TYPE]]="VIP",[1]!DATA[[#This Row],[STORAGE DAYS]]*20)</f>
        <v>3440</v>
      </c>
      <c r="R93" s="11" t="str">
        <f>IF(ISBLANK([1]!DATA[[#This Row],[COLDROOM RECEIPT]]),"IN CUSTODY","DISCHARGED")</f>
        <v>DISCHARGED</v>
      </c>
    </row>
    <row r="94" spans="1:18" ht="19.8">
      <c r="A94" s="1" t="s">
        <v>391</v>
      </c>
      <c r="B94" s="2" t="s">
        <v>392</v>
      </c>
      <c r="C94" s="2">
        <v>73</v>
      </c>
      <c r="D94" s="3" t="s">
        <v>16</v>
      </c>
      <c r="E94" s="3" t="s">
        <v>393</v>
      </c>
      <c r="F94" s="4">
        <v>241167825</v>
      </c>
      <c r="G94" s="3" t="s">
        <v>1</v>
      </c>
      <c r="H94" s="5">
        <v>0.66666666666666663</v>
      </c>
      <c r="I94" s="3" t="s">
        <v>2</v>
      </c>
      <c r="J94" s="6">
        <v>45706</v>
      </c>
      <c r="K94" s="6">
        <v>45807</v>
      </c>
      <c r="L94" s="2">
        <f>IF(ISBLANK([1]!DATA[[#This Row],[DISCHARGE DATE]]),"NO DISCHARGE DATE",[1]!DATA[[#This Row],[DISCHARGE DATE]]-[1]!DATA[[#This Row],[ADMISSION DATE]]+1)</f>
        <v>68</v>
      </c>
      <c r="M94" s="7">
        <v>350</v>
      </c>
      <c r="N94" s="7">
        <v>1326</v>
      </c>
      <c r="O94" s="8" t="s">
        <v>394</v>
      </c>
      <c r="P94" s="8" t="s">
        <v>395</v>
      </c>
      <c r="Q94" s="10" cm="1">
        <f t="array" ref="Q94">_xlfn.IFS([1]!DATA[[#This Row],[TYPE]]="Normal",[1]!DATA[[#This Row],[STORAGE DAYS]]*13,[1]!DATA[[#This Row],[TYPE]]="VIP",[1]!DATA[[#This Row],[STORAGE DAYS]]*20)</f>
        <v>884</v>
      </c>
      <c r="R94" s="11" t="str">
        <f>IF(ISBLANK([1]!DATA[[#This Row],[COLDROOM RECEIPT]]),"IN CUSTODY","DISCHARGED")</f>
        <v>DISCHARGED</v>
      </c>
    </row>
    <row r="95" spans="1:18" ht="19.8">
      <c r="A95" s="1" t="s">
        <v>396</v>
      </c>
      <c r="B95" s="2" t="s">
        <v>397</v>
      </c>
      <c r="C95" s="2">
        <v>54</v>
      </c>
      <c r="D95" s="3" t="s">
        <v>0</v>
      </c>
      <c r="E95" s="3" t="s">
        <v>398</v>
      </c>
      <c r="F95" s="4">
        <v>533225299</v>
      </c>
      <c r="G95" s="3" t="s">
        <v>1</v>
      </c>
      <c r="H95" s="5">
        <v>0.58333333333333337</v>
      </c>
      <c r="I95" s="3" t="s">
        <v>2</v>
      </c>
      <c r="J95" s="6">
        <v>45703</v>
      </c>
      <c r="K95" s="6">
        <v>45807</v>
      </c>
      <c r="L95" s="2">
        <f>IF(ISBLANK([1]!DATA[[#This Row],[DISCHARGE DATE]]),"NO DISCHARGE DATE",[1]!DATA[[#This Row],[DISCHARGE DATE]]-[1]!DATA[[#This Row],[ADMISSION DATE]]+1)</f>
        <v>102</v>
      </c>
      <c r="M95" s="7">
        <v>350</v>
      </c>
      <c r="N95" s="7">
        <v>1365</v>
      </c>
      <c r="O95" s="8" t="s">
        <v>399</v>
      </c>
      <c r="P95" s="8" t="s">
        <v>400</v>
      </c>
      <c r="Q95" s="10" cm="1">
        <f t="array" ref="Q95">_xlfn.IFS([1]!DATA[[#This Row],[TYPE]]="Normal",[1]!DATA[[#This Row],[STORAGE DAYS]]*13,[1]!DATA[[#This Row],[TYPE]]="VIP",[1]!DATA[[#This Row],[STORAGE DAYS]]*20)</f>
        <v>1326</v>
      </c>
      <c r="R95" s="11" t="str">
        <f>IF(ISBLANK([1]!DATA[[#This Row],[COLDROOM RECEIPT]]),"IN CUSTODY","DISCHARGED")</f>
        <v>DISCHARGED</v>
      </c>
    </row>
    <row r="96" spans="1:18" ht="19.8">
      <c r="A96" s="1" t="s">
        <v>401</v>
      </c>
      <c r="B96" s="2" t="s">
        <v>402</v>
      </c>
      <c r="C96" s="2">
        <v>57</v>
      </c>
      <c r="D96" s="3" t="s">
        <v>16</v>
      </c>
      <c r="E96" s="3" t="s">
        <v>403</v>
      </c>
      <c r="F96" s="4">
        <v>243586552</v>
      </c>
      <c r="G96" s="3" t="s">
        <v>1</v>
      </c>
      <c r="H96" s="5">
        <v>0.375</v>
      </c>
      <c r="I96" s="3" t="s">
        <v>2</v>
      </c>
      <c r="J96" s="6">
        <v>45708</v>
      </c>
      <c r="K96" s="6">
        <v>45744</v>
      </c>
      <c r="L96" s="2">
        <f>IF(ISBLANK([1]!DATA[[#This Row],[DISCHARGE DATE]]),"NO DISCHARGE DATE",[1]!DATA[[#This Row],[DISCHARGE DATE]]-[1]!DATA[[#This Row],[ADMISSION DATE]]+1)</f>
        <v>105</v>
      </c>
      <c r="M96" s="7">
        <v>350</v>
      </c>
      <c r="N96" s="7">
        <v>481</v>
      </c>
      <c r="O96" s="8" t="s">
        <v>179</v>
      </c>
      <c r="P96" s="8" t="s">
        <v>232</v>
      </c>
      <c r="Q96" s="10" cm="1">
        <f t="array" ref="Q96">_xlfn.IFS([1]!DATA[[#This Row],[TYPE]]="Normal",[1]!DATA[[#This Row],[STORAGE DAYS]]*13,[1]!DATA[[#This Row],[TYPE]]="VIP",[1]!DATA[[#This Row],[STORAGE DAYS]]*20)</f>
        <v>1365</v>
      </c>
      <c r="R96" s="11" t="str">
        <f>IF(ISBLANK([1]!DATA[[#This Row],[COLDROOM RECEIPT]]),"IN CUSTODY","DISCHARGED")</f>
        <v>DISCHARGED</v>
      </c>
    </row>
    <row r="97" spans="1:18" ht="19.8">
      <c r="A97" s="1" t="s">
        <v>404</v>
      </c>
      <c r="B97" s="2" t="s">
        <v>405</v>
      </c>
      <c r="C97" s="2">
        <v>52</v>
      </c>
      <c r="D97" s="3" t="s">
        <v>16</v>
      </c>
      <c r="E97" s="3" t="s">
        <v>406</v>
      </c>
      <c r="F97" s="4">
        <v>241866637</v>
      </c>
      <c r="G97" s="3" t="s">
        <v>1</v>
      </c>
      <c r="H97" s="5">
        <v>0.52430555555555558</v>
      </c>
      <c r="I97" s="3" t="s">
        <v>2</v>
      </c>
      <c r="J97" s="6">
        <v>45709</v>
      </c>
      <c r="K97" s="6">
        <v>45805</v>
      </c>
      <c r="L97" s="2">
        <f>IF(ISBLANK([1]!DATA[[#This Row],[DISCHARGE DATE]]),"NO DISCHARGE DATE",[1]!DATA[[#This Row],[DISCHARGE DATE]]-[1]!DATA[[#This Row],[ADMISSION DATE]]+1)</f>
        <v>37</v>
      </c>
      <c r="M97" s="7">
        <v>350</v>
      </c>
      <c r="N97" s="7">
        <v>1261</v>
      </c>
      <c r="O97" s="8" t="s">
        <v>202</v>
      </c>
      <c r="P97" s="8" t="s">
        <v>385</v>
      </c>
      <c r="Q97" s="10" cm="1">
        <f t="array" ref="Q97">_xlfn.IFS([1]!DATA[[#This Row],[TYPE]]="Normal",[1]!DATA[[#This Row],[STORAGE DAYS]]*13,[1]!DATA[[#This Row],[TYPE]]="VIP",[1]!DATA[[#This Row],[STORAGE DAYS]]*20)</f>
        <v>481</v>
      </c>
      <c r="R97" s="11" t="str">
        <f>IF(ISBLANK([1]!DATA[[#This Row],[COLDROOM RECEIPT]]),"IN CUSTODY","DISCHARGED")</f>
        <v>DISCHARGED</v>
      </c>
    </row>
    <row r="98" spans="1:18" ht="19.8">
      <c r="A98" s="1" t="s">
        <v>407</v>
      </c>
      <c r="B98" s="2" t="s">
        <v>408</v>
      </c>
      <c r="C98" s="2">
        <v>90</v>
      </c>
      <c r="D98" s="3" t="s">
        <v>16</v>
      </c>
      <c r="E98" s="3" t="s">
        <v>409</v>
      </c>
      <c r="F98" s="4">
        <v>546343905</v>
      </c>
      <c r="G98" s="3" t="s">
        <v>1</v>
      </c>
      <c r="H98" s="5">
        <v>0.22916666666666666</v>
      </c>
      <c r="I98" s="3" t="s">
        <v>145</v>
      </c>
      <c r="J98" s="6">
        <v>45712</v>
      </c>
      <c r="K98" s="6">
        <v>45954</v>
      </c>
      <c r="L98" s="2">
        <f>IF(ISBLANK([1]!DATA[[#This Row],[DISCHARGE DATE]]),"NO DISCHARGE DATE",[1]!DATA[[#This Row],[DISCHARGE DATE]]-[1]!DATA[[#This Row],[ADMISSION DATE]]+1)</f>
        <v>97</v>
      </c>
      <c r="M98" s="7">
        <v>350</v>
      </c>
      <c r="N98" s="7">
        <v>4860</v>
      </c>
      <c r="O98" s="8" t="s">
        <v>327</v>
      </c>
      <c r="P98" s="8" t="s">
        <v>410</v>
      </c>
      <c r="Q98" s="10" cm="1">
        <f t="array" ref="Q98">_xlfn.IFS([1]!DATA[[#This Row],[TYPE]]="Normal",[1]!DATA[[#This Row],[STORAGE DAYS]]*13,[1]!DATA[[#This Row],[TYPE]]="VIP",[1]!DATA[[#This Row],[STORAGE DAYS]]*20)</f>
        <v>1261</v>
      </c>
      <c r="R98" s="11" t="str">
        <f>IF(ISBLANK([1]!DATA[[#This Row],[COLDROOM RECEIPT]]),"IN CUSTODY","DISCHARGED")</f>
        <v>DISCHARGED</v>
      </c>
    </row>
    <row r="99" spans="1:18" ht="19.8">
      <c r="A99" s="1" t="s">
        <v>411</v>
      </c>
      <c r="B99" s="2" t="s">
        <v>30</v>
      </c>
      <c r="C99" s="2">
        <v>30</v>
      </c>
      <c r="D99" s="3" t="s">
        <v>0</v>
      </c>
      <c r="E99" s="3" t="s">
        <v>223</v>
      </c>
      <c r="F99" s="4">
        <v>248055141</v>
      </c>
      <c r="G99" s="3" t="s">
        <v>1</v>
      </c>
      <c r="H99" s="5">
        <v>0.875</v>
      </c>
      <c r="I99" s="3" t="s">
        <v>2</v>
      </c>
      <c r="J99" s="6">
        <v>45710</v>
      </c>
      <c r="K99" s="6">
        <v>45751</v>
      </c>
      <c r="L99" s="2">
        <f>IF(ISBLANK([1]!DATA[[#This Row],[DISCHARGE DATE]]),"NO DISCHARGE DATE",[1]!DATA[[#This Row],[DISCHARGE DATE]]-[1]!DATA[[#This Row],[ADMISSION DATE]]+1)</f>
        <v>243</v>
      </c>
      <c r="M99" s="7">
        <v>350</v>
      </c>
      <c r="N99" s="7">
        <v>546</v>
      </c>
      <c r="O99" s="8" t="s">
        <v>296</v>
      </c>
      <c r="P99" s="8" t="s">
        <v>300</v>
      </c>
      <c r="Q99" s="10" cm="1">
        <f t="array" ref="Q99">_xlfn.IFS([1]!DATA[[#This Row],[TYPE]]="Normal",[1]!DATA[[#This Row],[STORAGE DAYS]]*13,[1]!DATA[[#This Row],[TYPE]]="VIP",[1]!DATA[[#This Row],[STORAGE DAYS]]*20)</f>
        <v>4860</v>
      </c>
      <c r="R99" s="11" t="str">
        <f>IF(ISBLANK([1]!DATA[[#This Row],[COLDROOM RECEIPT]]),"IN CUSTODY","DISCHARGED")</f>
        <v>DISCHARGED</v>
      </c>
    </row>
    <row r="100" spans="1:18" ht="19.8">
      <c r="A100" s="1" t="s">
        <v>412</v>
      </c>
      <c r="B100" s="2" t="s">
        <v>413</v>
      </c>
      <c r="C100" s="2">
        <v>70</v>
      </c>
      <c r="D100" s="3" t="s">
        <v>16</v>
      </c>
      <c r="E100" s="3" t="s">
        <v>414</v>
      </c>
      <c r="F100" s="4">
        <v>555270243</v>
      </c>
      <c r="G100" s="3" t="s">
        <v>1</v>
      </c>
      <c r="H100" s="5">
        <v>0.8125</v>
      </c>
      <c r="I100" s="3" t="s">
        <v>2</v>
      </c>
      <c r="J100" s="6">
        <v>45712</v>
      </c>
      <c r="K100" s="6">
        <v>45772</v>
      </c>
      <c r="L100" s="2">
        <f>IF(ISBLANK([1]!DATA[[#This Row],[DISCHARGE DATE]]),"NO DISCHARGE DATE",[1]!DATA[[#This Row],[DISCHARGE DATE]]-[1]!DATA[[#This Row],[ADMISSION DATE]]+1)</f>
        <v>42</v>
      </c>
      <c r="M100" s="7">
        <v>350</v>
      </c>
      <c r="N100" s="7">
        <v>793</v>
      </c>
      <c r="O100" s="8" t="s">
        <v>415</v>
      </c>
      <c r="P100" s="8" t="s">
        <v>341</v>
      </c>
      <c r="Q100" s="10" cm="1">
        <f t="array" ref="Q100">_xlfn.IFS([1]!DATA[[#This Row],[TYPE]]="Normal",[1]!DATA[[#This Row],[STORAGE DAYS]]*13,[1]!DATA[[#This Row],[TYPE]]="VIP",[1]!DATA[[#This Row],[STORAGE DAYS]]*20)</f>
        <v>546</v>
      </c>
      <c r="R100" s="11" t="str">
        <f>IF(ISBLANK([1]!DATA[[#This Row],[COLDROOM RECEIPT]]),"IN CUSTODY","DISCHARGED")</f>
        <v>DISCHARGED</v>
      </c>
    </row>
    <row r="101" spans="1:18" ht="19.8">
      <c r="A101" s="1" t="s">
        <v>416</v>
      </c>
      <c r="B101" s="2" t="s">
        <v>417</v>
      </c>
      <c r="C101" s="2">
        <v>33</v>
      </c>
      <c r="D101" s="3" t="s">
        <v>16</v>
      </c>
      <c r="E101" s="3" t="s">
        <v>418</v>
      </c>
      <c r="F101" s="4">
        <v>256266123</v>
      </c>
      <c r="G101" s="3" t="s">
        <v>18</v>
      </c>
      <c r="H101" s="5">
        <v>0.9375</v>
      </c>
      <c r="I101" s="3" t="s">
        <v>2</v>
      </c>
      <c r="J101" s="6">
        <v>45713</v>
      </c>
      <c r="K101" s="6">
        <v>45772</v>
      </c>
      <c r="L101" s="2">
        <f>IF(ISBLANK([1]!DATA[[#This Row],[DISCHARGE DATE]]),"NO DISCHARGE DATE",[1]!DATA[[#This Row],[DISCHARGE DATE]]-[1]!DATA[[#This Row],[ADMISSION DATE]]+1)</f>
        <v>61</v>
      </c>
      <c r="M101" s="7">
        <v>350</v>
      </c>
      <c r="N101" s="7">
        <v>780</v>
      </c>
      <c r="O101" s="8" t="s">
        <v>419</v>
      </c>
      <c r="P101" s="8" t="s">
        <v>326</v>
      </c>
      <c r="Q101" s="10" cm="1">
        <f t="array" ref="Q101">_xlfn.IFS([1]!DATA[[#This Row],[TYPE]]="Normal",[1]!DATA[[#This Row],[STORAGE DAYS]]*13,[1]!DATA[[#This Row],[TYPE]]="VIP",[1]!DATA[[#This Row],[STORAGE DAYS]]*20)</f>
        <v>793</v>
      </c>
      <c r="R101" s="11" t="str">
        <f>IF(ISBLANK([1]!DATA[[#This Row],[COLDROOM RECEIPT]]),"IN CUSTODY","DISCHARGED")</f>
        <v>DISCHARGED</v>
      </c>
    </row>
    <row r="102" spans="1:18" ht="19.8">
      <c r="A102" s="1" t="s">
        <v>420</v>
      </c>
      <c r="B102" s="2" t="s">
        <v>421</v>
      </c>
      <c r="C102" s="2">
        <v>75</v>
      </c>
      <c r="D102" s="3" t="s">
        <v>0</v>
      </c>
      <c r="E102" s="3" t="s">
        <v>422</v>
      </c>
      <c r="F102" s="4">
        <v>240655787</v>
      </c>
      <c r="G102" s="3" t="s">
        <v>18</v>
      </c>
      <c r="H102" s="5">
        <v>0.58333333333333337</v>
      </c>
      <c r="I102" s="3" t="s">
        <v>145</v>
      </c>
      <c r="J102" s="6">
        <v>45716</v>
      </c>
      <c r="K102" s="6">
        <v>45974</v>
      </c>
      <c r="L102" s="2">
        <f>IF(ISBLANK([1]!DATA[[#This Row],[DISCHARGE DATE]]),"NO DISCHARGE DATE",[1]!DATA[[#This Row],[DISCHARGE DATE]]-[1]!DATA[[#This Row],[ADMISSION DATE]]+1)</f>
        <v>60</v>
      </c>
      <c r="M102" s="7">
        <v>350</v>
      </c>
      <c r="N102" s="7">
        <v>5180</v>
      </c>
      <c r="O102" s="8" t="s">
        <v>423</v>
      </c>
      <c r="P102" s="8" t="s">
        <v>424</v>
      </c>
      <c r="Q102" s="10" cm="1">
        <f t="array" ref="Q102">_xlfn.IFS([1]!DATA[[#This Row],[TYPE]]="Normal",[1]!DATA[[#This Row],[STORAGE DAYS]]*13,[1]!DATA[[#This Row],[TYPE]]="VIP",[1]!DATA[[#This Row],[STORAGE DAYS]]*20)</f>
        <v>780</v>
      </c>
      <c r="R102" s="11" t="str">
        <f>IF(ISBLANK([1]!DATA[[#This Row],[COLDROOM RECEIPT]]),"IN CUSTODY","DISCHARGED")</f>
        <v>DISCHARGED</v>
      </c>
    </row>
    <row r="103" spans="1:18" ht="19.8">
      <c r="A103" s="1" t="s">
        <v>425</v>
      </c>
      <c r="B103" s="2" t="s">
        <v>426</v>
      </c>
      <c r="C103" s="2">
        <v>60</v>
      </c>
      <c r="D103" s="3" t="s">
        <v>16</v>
      </c>
      <c r="E103" s="3" t="s">
        <v>427</v>
      </c>
      <c r="F103" s="4">
        <v>246961726</v>
      </c>
      <c r="G103" s="3" t="s">
        <v>1</v>
      </c>
      <c r="H103" s="5">
        <v>0.875</v>
      </c>
      <c r="I103" s="3" t="s">
        <v>2</v>
      </c>
      <c r="J103" s="6">
        <v>45717</v>
      </c>
      <c r="K103" s="6">
        <v>45807</v>
      </c>
      <c r="L103" s="2">
        <f>IF(ISBLANK([1]!DATA[[#This Row],[DISCHARGE DATE]]),"NO DISCHARGE DATE",[1]!DATA[[#This Row],[DISCHARGE DATE]]-[1]!DATA[[#This Row],[ADMISSION DATE]]+1)</f>
        <v>259</v>
      </c>
      <c r="M103" s="7">
        <v>350</v>
      </c>
      <c r="N103" s="7">
        <v>1183</v>
      </c>
      <c r="O103" s="8" t="s">
        <v>428</v>
      </c>
      <c r="P103" s="8" t="s">
        <v>394</v>
      </c>
      <c r="Q103" s="10" cm="1">
        <f t="array" ref="Q103">_xlfn.IFS([1]!DATA[[#This Row],[TYPE]]="Normal",[1]!DATA[[#This Row],[STORAGE DAYS]]*13,[1]!DATA[[#This Row],[TYPE]]="VIP",[1]!DATA[[#This Row],[STORAGE DAYS]]*20)</f>
        <v>5180</v>
      </c>
      <c r="R103" s="11" t="str">
        <f>IF(ISBLANK([1]!DATA[[#This Row],[COLDROOM RECEIPT]]),"IN CUSTODY","DISCHARGED")</f>
        <v>DISCHARGED</v>
      </c>
    </row>
    <row r="104" spans="1:18" ht="19.8">
      <c r="A104" s="1" t="s">
        <v>429</v>
      </c>
      <c r="B104" s="2" t="s">
        <v>430</v>
      </c>
      <c r="C104" s="2">
        <v>50</v>
      </c>
      <c r="D104" s="3" t="s">
        <v>0</v>
      </c>
      <c r="E104" s="3" t="s">
        <v>431</v>
      </c>
      <c r="F104" s="4">
        <v>247129896</v>
      </c>
      <c r="G104" s="3" t="s">
        <v>11</v>
      </c>
      <c r="H104" s="5">
        <v>0.5</v>
      </c>
      <c r="I104" s="3" t="s">
        <v>2</v>
      </c>
      <c r="J104" s="6">
        <v>45715</v>
      </c>
      <c r="K104" s="6">
        <v>45891</v>
      </c>
      <c r="L104" s="2">
        <f>IF(ISBLANK([1]!DATA[[#This Row],[DISCHARGE DATE]]),"NO DISCHARGE DATE",[1]!DATA[[#This Row],[DISCHARGE DATE]]-[1]!DATA[[#This Row],[ADMISSION DATE]]+1)</f>
        <v>91</v>
      </c>
      <c r="M104" s="7">
        <v>350</v>
      </c>
      <c r="N104" s="7">
        <v>2301</v>
      </c>
      <c r="O104" s="8" t="s">
        <v>342</v>
      </c>
      <c r="P104" s="8" t="s">
        <v>432</v>
      </c>
      <c r="Q104" s="10" cm="1">
        <f t="array" ref="Q104">_xlfn.IFS([1]!DATA[[#This Row],[TYPE]]="Normal",[1]!DATA[[#This Row],[STORAGE DAYS]]*13,[1]!DATA[[#This Row],[TYPE]]="VIP",[1]!DATA[[#This Row],[STORAGE DAYS]]*20)</f>
        <v>1183</v>
      </c>
      <c r="R104" s="11" t="str">
        <f>IF(ISBLANK([1]!DATA[[#This Row],[COLDROOM RECEIPT]]),"IN CUSTODY","DISCHARGED")</f>
        <v>DISCHARGED</v>
      </c>
    </row>
    <row r="105" spans="1:18" ht="19.8">
      <c r="A105" s="1" t="s">
        <v>433</v>
      </c>
      <c r="B105" s="2" t="s">
        <v>434</v>
      </c>
      <c r="C105" s="2">
        <v>30</v>
      </c>
      <c r="D105" s="3" t="s">
        <v>16</v>
      </c>
      <c r="E105" s="3" t="s">
        <v>190</v>
      </c>
      <c r="F105" s="4">
        <v>257701596</v>
      </c>
      <c r="G105" s="3" t="s">
        <v>18</v>
      </c>
      <c r="H105" s="5">
        <v>0.2638888888888889</v>
      </c>
      <c r="I105" s="3" t="s">
        <v>2</v>
      </c>
      <c r="J105" s="6">
        <v>45721</v>
      </c>
      <c r="K105" s="6">
        <v>45772</v>
      </c>
      <c r="L105" s="2">
        <f>IF(ISBLANK([1]!DATA[[#This Row],[DISCHARGE DATE]]),"NO DISCHARGE DATE",[1]!DATA[[#This Row],[DISCHARGE DATE]]-[1]!DATA[[#This Row],[ADMISSION DATE]]+1)</f>
        <v>177</v>
      </c>
      <c r="M105" s="7">
        <v>350</v>
      </c>
      <c r="N105" s="7">
        <v>676</v>
      </c>
      <c r="O105" s="8" t="s">
        <v>435</v>
      </c>
      <c r="P105" s="8" t="s">
        <v>371</v>
      </c>
      <c r="Q105" s="10" cm="1">
        <f t="array" ref="Q105">_xlfn.IFS([1]!DATA[[#This Row],[TYPE]]="Normal",[1]!DATA[[#This Row],[STORAGE DAYS]]*13,[1]!DATA[[#This Row],[TYPE]]="VIP",[1]!DATA[[#This Row],[STORAGE DAYS]]*20)</f>
        <v>2301</v>
      </c>
      <c r="R105" s="11" t="str">
        <f>IF(ISBLANK([1]!DATA[[#This Row],[COLDROOM RECEIPT]]),"IN CUSTODY","DISCHARGED")</f>
        <v>DISCHARGED</v>
      </c>
    </row>
    <row r="106" spans="1:18" ht="19.8">
      <c r="A106" s="1" t="s">
        <v>436</v>
      </c>
      <c r="B106" s="2" t="s">
        <v>437</v>
      </c>
      <c r="C106" s="2">
        <v>76</v>
      </c>
      <c r="D106" s="3" t="s">
        <v>0</v>
      </c>
      <c r="E106" s="3" t="s">
        <v>438</v>
      </c>
      <c r="F106" s="4">
        <v>242275892</v>
      </c>
      <c r="G106" s="3" t="s">
        <v>1</v>
      </c>
      <c r="H106" s="5">
        <v>0.57777777777777772</v>
      </c>
      <c r="I106" s="3" t="s">
        <v>2</v>
      </c>
      <c r="J106" s="6">
        <v>45723</v>
      </c>
      <c r="K106" s="6">
        <v>45849</v>
      </c>
      <c r="L106" s="2">
        <f>IF(ISBLANK([1]!DATA[[#This Row],[DISCHARGE DATE]]),"NO DISCHARGE DATE",[1]!DATA[[#This Row],[DISCHARGE DATE]]-[1]!DATA[[#This Row],[ADMISSION DATE]]+1)</f>
        <v>52</v>
      </c>
      <c r="M106" s="7">
        <v>350</v>
      </c>
      <c r="N106" s="7">
        <v>1651</v>
      </c>
      <c r="O106" s="8" t="s">
        <v>439</v>
      </c>
      <c r="P106" s="8" t="s">
        <v>440</v>
      </c>
      <c r="Q106" s="10" cm="1">
        <f t="array" ref="Q106">_xlfn.IFS([1]!DATA[[#This Row],[TYPE]]="Normal",[1]!DATA[[#This Row],[STORAGE DAYS]]*13,[1]!DATA[[#This Row],[TYPE]]="VIP",[1]!DATA[[#This Row],[STORAGE DAYS]]*20)</f>
        <v>676</v>
      </c>
      <c r="R106" s="11" t="str">
        <f>IF(ISBLANK([1]!DATA[[#This Row],[COLDROOM RECEIPT]]),"IN CUSTODY","DISCHARGED")</f>
        <v>DISCHARGED</v>
      </c>
    </row>
    <row r="107" spans="1:18" ht="19.8">
      <c r="A107" s="1" t="s">
        <v>441</v>
      </c>
      <c r="B107" s="2" t="s">
        <v>442</v>
      </c>
      <c r="C107" s="2">
        <v>67</v>
      </c>
      <c r="D107" s="3" t="s">
        <v>0</v>
      </c>
      <c r="E107" s="3" t="s">
        <v>443</v>
      </c>
      <c r="F107" s="4">
        <v>554941605</v>
      </c>
      <c r="G107" s="3" t="s">
        <v>1</v>
      </c>
      <c r="H107" s="5">
        <v>0.54166666666666663</v>
      </c>
      <c r="I107" s="3" t="s">
        <v>145</v>
      </c>
      <c r="J107" s="6">
        <v>45724</v>
      </c>
      <c r="K107" s="6">
        <v>45828</v>
      </c>
      <c r="L107" s="2">
        <f>IF(ISBLANK([1]!DATA[[#This Row],[DISCHARGE DATE]]),"NO DISCHARGE DATE",[1]!DATA[[#This Row],[DISCHARGE DATE]]-[1]!DATA[[#This Row],[ADMISSION DATE]]+1)</f>
        <v>127</v>
      </c>
      <c r="M107" s="7">
        <v>350</v>
      </c>
      <c r="N107" s="7">
        <v>2100</v>
      </c>
      <c r="O107" s="8" t="s">
        <v>444</v>
      </c>
      <c r="P107" s="8" t="s">
        <v>445</v>
      </c>
      <c r="Q107" s="10" cm="1">
        <f t="array" ref="Q107">_xlfn.IFS([1]!DATA[[#This Row],[TYPE]]="Normal",[1]!DATA[[#This Row],[STORAGE DAYS]]*13,[1]!DATA[[#This Row],[TYPE]]="VIP",[1]!DATA[[#This Row],[STORAGE DAYS]]*20)</f>
        <v>1651</v>
      </c>
      <c r="R107" s="11" t="str">
        <f>IF(ISBLANK([1]!DATA[[#This Row],[COLDROOM RECEIPT]]),"IN CUSTODY","DISCHARGED")</f>
        <v>DISCHARGED</v>
      </c>
    </row>
    <row r="108" spans="1:18" ht="19.8">
      <c r="A108" s="1" t="s">
        <v>446</v>
      </c>
      <c r="B108" s="2" t="s">
        <v>447</v>
      </c>
      <c r="C108" s="2">
        <v>38</v>
      </c>
      <c r="D108" s="3" t="s">
        <v>0</v>
      </c>
      <c r="E108" s="3" t="s">
        <v>448</v>
      </c>
      <c r="F108" s="4">
        <v>244574077</v>
      </c>
      <c r="G108" s="3" t="s">
        <v>449</v>
      </c>
      <c r="H108" s="5">
        <v>0.52222222222222225</v>
      </c>
      <c r="I108" s="3" t="s">
        <v>2</v>
      </c>
      <c r="J108" s="6">
        <v>45726</v>
      </c>
      <c r="K108" s="6">
        <v>45807</v>
      </c>
      <c r="L108" s="2">
        <f>IF(ISBLANK([1]!DATA[[#This Row],[DISCHARGE DATE]]),"NO DISCHARGE DATE",[1]!DATA[[#This Row],[DISCHARGE DATE]]-[1]!DATA[[#This Row],[ADMISSION DATE]]+1)</f>
        <v>105</v>
      </c>
      <c r="M108" s="7">
        <v>350</v>
      </c>
      <c r="N108" s="7">
        <v>1066</v>
      </c>
      <c r="O108" s="8" t="s">
        <v>450</v>
      </c>
      <c r="P108" s="8" t="s">
        <v>399</v>
      </c>
      <c r="Q108" s="10" cm="1">
        <f t="array" ref="Q108">_xlfn.IFS([1]!DATA[[#This Row],[TYPE]]="Normal",[1]!DATA[[#This Row],[STORAGE DAYS]]*13,[1]!DATA[[#This Row],[TYPE]]="VIP",[1]!DATA[[#This Row],[STORAGE DAYS]]*20)</f>
        <v>2100</v>
      </c>
      <c r="R108" s="11" t="str">
        <f>IF(ISBLANK([1]!DATA[[#This Row],[COLDROOM RECEIPT]]),"IN CUSTODY","DISCHARGED")</f>
        <v>DISCHARGED</v>
      </c>
    </row>
    <row r="109" spans="1:18" ht="19.8">
      <c r="A109" s="1" t="s">
        <v>451</v>
      </c>
      <c r="B109" s="2" t="s">
        <v>452</v>
      </c>
      <c r="C109" s="2">
        <v>66</v>
      </c>
      <c r="D109" s="3" t="s">
        <v>16</v>
      </c>
      <c r="E109" s="3" t="s">
        <v>453</v>
      </c>
      <c r="F109" s="4">
        <v>556474751</v>
      </c>
      <c r="G109" s="3" t="s">
        <v>449</v>
      </c>
      <c r="H109" s="5">
        <v>0.67361111111111116</v>
      </c>
      <c r="I109" s="3" t="s">
        <v>145</v>
      </c>
      <c r="J109" s="6">
        <v>45727</v>
      </c>
      <c r="K109" s="6">
        <v>45898</v>
      </c>
      <c r="L109" s="2">
        <f>IF(ISBLANK([1]!DATA[[#This Row],[DISCHARGE DATE]]),"NO DISCHARGE DATE",[1]!DATA[[#This Row],[DISCHARGE DATE]]-[1]!DATA[[#This Row],[ADMISSION DATE]]+1)</f>
        <v>82</v>
      </c>
      <c r="M109" s="7">
        <v>350</v>
      </c>
      <c r="N109" s="7">
        <v>3440</v>
      </c>
      <c r="O109" s="8" t="s">
        <v>454</v>
      </c>
      <c r="P109" s="8" t="s">
        <v>455</v>
      </c>
      <c r="Q109" s="10" cm="1">
        <f t="array" ref="Q109">_xlfn.IFS([1]!DATA[[#This Row],[TYPE]]="Normal",[1]!DATA[[#This Row],[STORAGE DAYS]]*13,[1]!DATA[[#This Row],[TYPE]]="VIP",[1]!DATA[[#This Row],[STORAGE DAYS]]*20)</f>
        <v>1066</v>
      </c>
      <c r="R109" s="11" t="str">
        <f>IF(ISBLANK([1]!DATA[[#This Row],[COLDROOM RECEIPT]]),"IN CUSTODY","DISCHARGED")</f>
        <v>DISCHARGED</v>
      </c>
    </row>
    <row r="110" spans="1:18" ht="19.8">
      <c r="A110" s="1" t="s">
        <v>456</v>
      </c>
      <c r="B110" s="2" t="s">
        <v>457</v>
      </c>
      <c r="C110" s="2">
        <v>61</v>
      </c>
      <c r="D110" s="3" t="s">
        <v>0</v>
      </c>
      <c r="E110" s="3" t="s">
        <v>458</v>
      </c>
      <c r="F110" s="4">
        <v>247292185</v>
      </c>
      <c r="G110" s="3" t="s">
        <v>1</v>
      </c>
      <c r="H110" s="5">
        <v>0.5444444444444444</v>
      </c>
      <c r="I110" s="3" t="s">
        <v>2</v>
      </c>
      <c r="J110" s="6">
        <v>45729</v>
      </c>
      <c r="K110" s="6">
        <v>45849</v>
      </c>
      <c r="L110" s="2">
        <f>IF(ISBLANK([1]!DATA[[#This Row],[DISCHARGE DATE]]),"NO DISCHARGE DATE",[1]!DATA[[#This Row],[DISCHARGE DATE]]-[1]!DATA[[#This Row],[ADMISSION DATE]]+1)</f>
        <v>172</v>
      </c>
      <c r="M110" s="7">
        <v>350</v>
      </c>
      <c r="N110" s="7">
        <v>1573</v>
      </c>
      <c r="O110" s="8" t="s">
        <v>459</v>
      </c>
      <c r="P110" s="8" t="s">
        <v>460</v>
      </c>
      <c r="Q110" s="10" cm="1">
        <f t="array" ref="Q110">_xlfn.IFS([1]!DATA[[#This Row],[TYPE]]="Normal",[1]!DATA[[#This Row],[STORAGE DAYS]]*13,[1]!DATA[[#This Row],[TYPE]]="VIP",[1]!DATA[[#This Row],[STORAGE DAYS]]*20)</f>
        <v>3440</v>
      </c>
      <c r="R110" s="11" t="str">
        <f>IF(ISBLANK([1]!DATA[[#This Row],[COLDROOM RECEIPT]]),"IN CUSTODY","DISCHARGED")</f>
        <v>DISCHARGED</v>
      </c>
    </row>
    <row r="111" spans="1:18" ht="19.8">
      <c r="A111" s="1" t="s">
        <v>461</v>
      </c>
      <c r="B111" s="2" t="s">
        <v>462</v>
      </c>
      <c r="C111" s="2">
        <v>77</v>
      </c>
      <c r="D111" s="3" t="s">
        <v>16</v>
      </c>
      <c r="E111" s="3" t="s">
        <v>463</v>
      </c>
      <c r="F111" s="4">
        <v>245468876</v>
      </c>
      <c r="G111" s="3" t="s">
        <v>1</v>
      </c>
      <c r="H111" s="5">
        <v>0.67708333333333337</v>
      </c>
      <c r="I111" s="3" t="s">
        <v>145</v>
      </c>
      <c r="J111" s="6">
        <v>45733</v>
      </c>
      <c r="K111" s="6">
        <v>45807</v>
      </c>
      <c r="L111" s="2">
        <f>IF(ISBLANK([1]!DATA[[#This Row],[DISCHARGE DATE]]),"NO DISCHARGE DATE",[1]!DATA[[#This Row],[DISCHARGE DATE]]-[1]!DATA[[#This Row],[ADMISSION DATE]]+1)</f>
        <v>121</v>
      </c>
      <c r="M111" s="7">
        <v>350</v>
      </c>
      <c r="N111" s="7">
        <v>1486</v>
      </c>
      <c r="O111" s="8" t="s">
        <v>464</v>
      </c>
      <c r="P111" s="8" t="s">
        <v>390</v>
      </c>
      <c r="Q111" s="10" cm="1">
        <f t="array" ref="Q111">_xlfn.IFS([1]!DATA[[#This Row],[TYPE]]="Normal",[1]!DATA[[#This Row],[STORAGE DAYS]]*13,[1]!DATA[[#This Row],[TYPE]]="VIP",[1]!DATA[[#This Row],[STORAGE DAYS]]*20)</f>
        <v>1573</v>
      </c>
      <c r="R111" s="11" t="str">
        <f>IF(ISBLANK([1]!DATA[[#This Row],[COLDROOM RECEIPT]]),"IN CUSTODY","DISCHARGED")</f>
        <v>DISCHARGED</v>
      </c>
    </row>
    <row r="112" spans="1:18" ht="19.8">
      <c r="A112" s="1" t="s">
        <v>465</v>
      </c>
      <c r="B112" s="2" t="s">
        <v>466</v>
      </c>
      <c r="C112" s="2">
        <v>64</v>
      </c>
      <c r="D112" s="3" t="s">
        <v>0</v>
      </c>
      <c r="E112" s="3" t="s">
        <v>467</v>
      </c>
      <c r="F112" s="4">
        <v>246635172</v>
      </c>
      <c r="G112" s="3" t="s">
        <v>200</v>
      </c>
      <c r="H112" s="5">
        <v>0.4152777777777778</v>
      </c>
      <c r="I112" s="3" t="s">
        <v>2</v>
      </c>
      <c r="J112" s="6">
        <v>45743</v>
      </c>
      <c r="K112" s="6">
        <v>45835</v>
      </c>
      <c r="L112" s="2">
        <f>IF(ISBLANK([1]!DATA[[#This Row],[DISCHARGE DATE]]),"NO DISCHARGE DATE",[1]!DATA[[#This Row],[DISCHARGE DATE]]-[1]!DATA[[#This Row],[ADMISSION DATE]]+1)</f>
        <v>75</v>
      </c>
      <c r="M112" s="7">
        <v>350</v>
      </c>
      <c r="N112" s="7">
        <v>1209</v>
      </c>
      <c r="O112" s="8" t="s">
        <v>468</v>
      </c>
      <c r="P112" s="8" t="s">
        <v>469</v>
      </c>
      <c r="Q112" s="10" cm="1">
        <f t="array" ref="Q112">_xlfn.IFS([1]!DATA[[#This Row],[TYPE]]="Normal",[1]!DATA[[#This Row],[STORAGE DAYS]]*13,[1]!DATA[[#This Row],[TYPE]]="VIP",[1]!DATA[[#This Row],[STORAGE DAYS]]*20)</f>
        <v>1500</v>
      </c>
      <c r="R112" s="11" t="str">
        <f>IF(ISBLANK([1]!DATA[[#This Row],[COLDROOM RECEIPT]]),"IN CUSTODY","DISCHARGED")</f>
        <v>DISCHARGED</v>
      </c>
    </row>
    <row r="113" spans="1:18" ht="19.8">
      <c r="A113" s="1" t="s">
        <v>470</v>
      </c>
      <c r="B113" s="2" t="s">
        <v>471</v>
      </c>
      <c r="C113" s="2">
        <v>68</v>
      </c>
      <c r="D113" s="3" t="s">
        <v>16</v>
      </c>
      <c r="E113" s="3" t="s">
        <v>472</v>
      </c>
      <c r="F113" s="4">
        <v>598796666</v>
      </c>
      <c r="G113" s="3" t="s">
        <v>11</v>
      </c>
      <c r="H113" s="5">
        <v>0.70833333333333337</v>
      </c>
      <c r="I113" s="3" t="s">
        <v>145</v>
      </c>
      <c r="J113" s="6">
        <v>45746</v>
      </c>
      <c r="K113" s="6">
        <v>45764</v>
      </c>
      <c r="L113" s="2">
        <f>IF(ISBLANK([1]!DATA[[#This Row],[DISCHARGE DATE]]),"NO DISCHARGE DATE",[1]!DATA[[#This Row],[DISCHARGE DATE]]-[1]!DATA[[#This Row],[ADMISSION DATE]]+1)</f>
        <v>93</v>
      </c>
      <c r="M113" s="7">
        <v>350</v>
      </c>
      <c r="N113" s="7">
        <v>380</v>
      </c>
      <c r="O113" s="8" t="s">
        <v>473</v>
      </c>
      <c r="P113" s="8" t="s">
        <v>305</v>
      </c>
      <c r="Q113" s="10" cm="1">
        <f t="array" ref="Q113">_xlfn.IFS([1]!DATA[[#This Row],[TYPE]]="Normal",[1]!DATA[[#This Row],[STORAGE DAYS]]*13,[1]!DATA[[#This Row],[TYPE]]="VIP",[1]!DATA[[#This Row],[STORAGE DAYS]]*20)</f>
        <v>1209</v>
      </c>
      <c r="R113" s="11" t="str">
        <f>IF(ISBLANK([1]!DATA[[#This Row],[COLDROOM RECEIPT]]),"IN CUSTODY","DISCHARGED")</f>
        <v>DISCHARGED</v>
      </c>
    </row>
    <row r="114" spans="1:18" ht="19.8">
      <c r="A114" s="1" t="s">
        <v>474</v>
      </c>
      <c r="B114" s="2" t="s">
        <v>475</v>
      </c>
      <c r="C114" s="2">
        <v>82</v>
      </c>
      <c r="D114" s="3" t="s">
        <v>16</v>
      </c>
      <c r="E114" s="3" t="s">
        <v>476</v>
      </c>
      <c r="F114" s="4">
        <v>243178994</v>
      </c>
      <c r="G114" s="3" t="s">
        <v>1</v>
      </c>
      <c r="H114" s="5">
        <v>0.58333333333333337</v>
      </c>
      <c r="I114" s="3" t="s">
        <v>2</v>
      </c>
      <c r="J114" s="6">
        <v>45745</v>
      </c>
      <c r="K114" s="6">
        <v>45961</v>
      </c>
      <c r="L114" s="2">
        <f>IF(ISBLANK([1]!DATA[[#This Row],[DISCHARGE DATE]]),"NO DISCHARGE DATE",[1]!DATA[[#This Row],[DISCHARGE DATE]]-[1]!DATA[[#This Row],[ADMISSION DATE]]+1)</f>
        <v>19</v>
      </c>
      <c r="M114" s="7">
        <v>350</v>
      </c>
      <c r="N114" s="7">
        <v>2821</v>
      </c>
      <c r="O114" s="8" t="s">
        <v>477</v>
      </c>
      <c r="P114" s="8" t="s">
        <v>478</v>
      </c>
      <c r="Q114" s="10" cm="1">
        <f t="array" ref="Q114">_xlfn.IFS([1]!DATA[[#This Row],[TYPE]]="Normal",[1]!DATA[[#This Row],[STORAGE DAYS]]*13,[1]!DATA[[#This Row],[TYPE]]="VIP",[1]!DATA[[#This Row],[STORAGE DAYS]]*20)</f>
        <v>380</v>
      </c>
      <c r="R114" s="11" t="str">
        <f>IF(ISBLANK([1]!DATA[[#This Row],[COLDROOM RECEIPT]]),"IN CUSTODY","DISCHARGED")</f>
        <v>DISCHARGED</v>
      </c>
    </row>
    <row r="115" spans="1:18" ht="19.8">
      <c r="A115" s="1" t="s">
        <v>479</v>
      </c>
      <c r="B115" s="2" t="s">
        <v>480</v>
      </c>
      <c r="C115" s="2">
        <v>100</v>
      </c>
      <c r="D115" s="3" t="s">
        <v>16</v>
      </c>
      <c r="E115" s="3" t="s">
        <v>481</v>
      </c>
      <c r="F115" s="4">
        <v>249640385</v>
      </c>
      <c r="G115" s="3" t="s">
        <v>482</v>
      </c>
      <c r="H115" s="5">
        <v>0.83333333333333337</v>
      </c>
      <c r="I115" s="3" t="s">
        <v>2</v>
      </c>
      <c r="J115" s="6">
        <v>45747</v>
      </c>
      <c r="K115" s="6">
        <v>45898</v>
      </c>
      <c r="L115" s="2">
        <f>IF(ISBLANK([1]!DATA[[#This Row],[DISCHARGE DATE]]),"NO DISCHARGE DATE",[1]!DATA[[#This Row],[DISCHARGE DATE]]-[1]!DATA[[#This Row],[ADMISSION DATE]]+1)</f>
        <v>217</v>
      </c>
      <c r="M115" s="7">
        <v>350</v>
      </c>
      <c r="N115" s="7">
        <v>1776</v>
      </c>
      <c r="O115" s="8" t="s">
        <v>483</v>
      </c>
      <c r="P115" s="8" t="s">
        <v>484</v>
      </c>
      <c r="Q115" s="10" cm="1">
        <f t="array" ref="Q115">_xlfn.IFS([1]!DATA[[#This Row],[TYPE]]="Normal",[1]!DATA[[#This Row],[STORAGE DAYS]]*13,[1]!DATA[[#This Row],[TYPE]]="VIP",[1]!DATA[[#This Row],[STORAGE DAYS]]*20)</f>
        <v>2821</v>
      </c>
      <c r="R115" s="11" t="str">
        <f>IF(ISBLANK([1]!DATA[[#This Row],[COLDROOM RECEIPT]]),"IN CUSTODY","DISCHARGED")</f>
        <v>DISCHARGED</v>
      </c>
    </row>
    <row r="116" spans="1:18" ht="19.8">
      <c r="A116" s="1" t="s">
        <v>485</v>
      </c>
      <c r="B116" s="2" t="s">
        <v>486</v>
      </c>
      <c r="C116" s="2">
        <v>61</v>
      </c>
      <c r="D116" s="3" t="s">
        <v>16</v>
      </c>
      <c r="E116" s="3" t="s">
        <v>487</v>
      </c>
      <c r="F116" s="4">
        <v>246380664</v>
      </c>
      <c r="G116" s="3" t="s">
        <v>1</v>
      </c>
      <c r="H116" s="5">
        <v>0.625</v>
      </c>
      <c r="I116" s="3" t="s">
        <v>2</v>
      </c>
      <c r="J116" s="6">
        <v>45753</v>
      </c>
      <c r="K116" s="6">
        <v>45807</v>
      </c>
      <c r="L116" s="2">
        <f>IF(ISBLANK([1]!DATA[[#This Row],[DISCHARGE DATE]]),"NO DISCHARGE DATE",[1]!DATA[[#This Row],[DISCHARGE DATE]]-[1]!DATA[[#This Row],[ADMISSION DATE]]+1)</f>
        <v>152</v>
      </c>
      <c r="M116" s="7">
        <v>350</v>
      </c>
      <c r="N116" s="7">
        <v>715</v>
      </c>
      <c r="O116" s="8" t="s">
        <v>488</v>
      </c>
      <c r="P116" s="8" t="s">
        <v>489</v>
      </c>
      <c r="Q116" s="10" cm="1">
        <f t="array" ref="Q116">_xlfn.IFS([1]!DATA[[#This Row],[TYPE]]="Normal",[1]!DATA[[#This Row],[STORAGE DAYS]]*13,[1]!DATA[[#This Row],[TYPE]]="VIP",[1]!DATA[[#This Row],[STORAGE DAYS]]*20)</f>
        <v>1976</v>
      </c>
      <c r="R116" s="11" t="str">
        <f>IF(ISBLANK([1]!DATA[[#This Row],[COLDROOM RECEIPT]]),"IN CUSTODY","DISCHARGED")</f>
        <v>DISCHARGED</v>
      </c>
    </row>
    <row r="117" spans="1:18" ht="19.8">
      <c r="A117" s="1" t="s">
        <v>490</v>
      </c>
      <c r="B117" s="2" t="s">
        <v>491</v>
      </c>
      <c r="C117" s="2">
        <v>63</v>
      </c>
      <c r="D117" s="3" t="s">
        <v>16</v>
      </c>
      <c r="E117" s="3" t="s">
        <v>492</v>
      </c>
      <c r="F117" s="4">
        <v>543280791</v>
      </c>
      <c r="G117" s="3" t="s">
        <v>1</v>
      </c>
      <c r="H117" s="5">
        <v>0.48333333333333334</v>
      </c>
      <c r="I117" s="3" t="s">
        <v>145</v>
      </c>
      <c r="J117" s="6">
        <v>45755</v>
      </c>
      <c r="K117" s="6">
        <v>45870</v>
      </c>
      <c r="L117" s="2">
        <f>IF(ISBLANK([1]!DATA[[#This Row],[DISCHARGE DATE]]),"NO DISCHARGE DATE",[1]!DATA[[#This Row],[DISCHARGE DATE]]-[1]!DATA[[#This Row],[ADMISSION DATE]]+1)</f>
        <v>55</v>
      </c>
      <c r="M117" s="7">
        <v>350</v>
      </c>
      <c r="N117" s="7">
        <v>2320</v>
      </c>
      <c r="O117" s="8" t="s">
        <v>493</v>
      </c>
      <c r="P117" s="8" t="s">
        <v>494</v>
      </c>
      <c r="Q117" s="10" cm="1">
        <f t="array" ref="Q117">_xlfn.IFS([1]!DATA[[#This Row],[TYPE]]="Normal",[1]!DATA[[#This Row],[STORAGE DAYS]]*13,[1]!DATA[[#This Row],[TYPE]]="VIP",[1]!DATA[[#This Row],[STORAGE DAYS]]*20)</f>
        <v>715</v>
      </c>
      <c r="R117" s="11" t="str">
        <f>IF(ISBLANK([1]!DATA[[#This Row],[COLDROOM RECEIPT]]),"IN CUSTODY","DISCHARGED")</f>
        <v>DISCHARGED</v>
      </c>
    </row>
    <row r="118" spans="1:18" ht="19.8">
      <c r="A118" s="1" t="s">
        <v>495</v>
      </c>
      <c r="B118" s="2" t="s">
        <v>496</v>
      </c>
      <c r="C118" s="2">
        <v>55</v>
      </c>
      <c r="D118" s="3" t="s">
        <v>16</v>
      </c>
      <c r="E118" s="3" t="s">
        <v>497</v>
      </c>
      <c r="F118" s="4">
        <v>543171106</v>
      </c>
      <c r="G118" s="3" t="s">
        <v>1</v>
      </c>
      <c r="H118" s="5">
        <v>0.83333333333333337</v>
      </c>
      <c r="I118" s="3" t="s">
        <v>145</v>
      </c>
      <c r="J118" s="6">
        <v>45757</v>
      </c>
      <c r="K118" s="6">
        <v>45898</v>
      </c>
      <c r="L118" s="2">
        <f>IF(ISBLANK([1]!DATA[[#This Row],[DISCHARGE DATE]]),"NO DISCHARGE DATE",[1]!DATA[[#This Row],[DISCHARGE DATE]]-[1]!DATA[[#This Row],[ADMISSION DATE]]+1)</f>
        <v>116</v>
      </c>
      <c r="M118" s="7">
        <v>350</v>
      </c>
      <c r="N118" s="7">
        <v>2540</v>
      </c>
      <c r="O118" s="8" t="s">
        <v>498</v>
      </c>
      <c r="P118" s="8" t="s">
        <v>499</v>
      </c>
      <c r="Q118" s="10" cm="1">
        <f t="array" ref="Q118">_xlfn.IFS([1]!DATA[[#This Row],[TYPE]]="Normal",[1]!DATA[[#This Row],[STORAGE DAYS]]*13,[1]!DATA[[#This Row],[TYPE]]="VIP",[1]!DATA[[#This Row],[STORAGE DAYS]]*20)</f>
        <v>2320</v>
      </c>
      <c r="R118" s="11" t="str">
        <f>IF(ISBLANK([1]!DATA[[#This Row],[COLDROOM RECEIPT]]),"IN CUSTODY","DISCHARGED")</f>
        <v>DISCHARGED</v>
      </c>
    </row>
    <row r="119" spans="1:18" ht="19.8">
      <c r="A119" s="1" t="s">
        <v>500</v>
      </c>
      <c r="B119" s="2" t="s">
        <v>501</v>
      </c>
      <c r="C119" s="2">
        <v>26</v>
      </c>
      <c r="D119" s="3" t="s">
        <v>16</v>
      </c>
      <c r="E119" s="3" t="s">
        <v>502</v>
      </c>
      <c r="F119" s="4"/>
      <c r="G119" s="3" t="s">
        <v>1</v>
      </c>
      <c r="H119" s="5">
        <v>0.95833333333333337</v>
      </c>
      <c r="I119" s="3" t="s">
        <v>145</v>
      </c>
      <c r="J119" s="6">
        <v>45757</v>
      </c>
      <c r="K119" s="6">
        <v>45835</v>
      </c>
      <c r="L119" s="2">
        <f>IF(ISBLANK([1]!DATA[[#This Row],[DISCHARGE DATE]]),"NO DISCHARGE DATE",[1]!DATA[[#This Row],[DISCHARGE DATE]]-[1]!DATA[[#This Row],[ADMISSION DATE]]+1)</f>
        <v>142</v>
      </c>
      <c r="M119" s="7">
        <v>350</v>
      </c>
      <c r="N119" s="7">
        <v>1580</v>
      </c>
      <c r="O119" s="8" t="s">
        <v>503</v>
      </c>
      <c r="P119" s="8" t="s">
        <v>504</v>
      </c>
      <c r="Q119" s="10" cm="1">
        <f t="array" ref="Q119">_xlfn.IFS([1]!DATA[[#This Row],[TYPE]]="Normal",[1]!DATA[[#This Row],[STORAGE DAYS]]*13,[1]!DATA[[#This Row],[TYPE]]="VIP",[1]!DATA[[#This Row],[STORAGE DAYS]]*20)</f>
        <v>2840</v>
      </c>
      <c r="R119" s="11" t="str">
        <f>IF(ISBLANK([1]!DATA[[#This Row],[COLDROOM RECEIPT]]),"IN CUSTODY","DISCHARGED")</f>
        <v>DISCHARGED</v>
      </c>
    </row>
    <row r="120" spans="1:18" ht="19.8">
      <c r="A120" s="12" t="s">
        <v>505</v>
      </c>
      <c r="B120" s="13" t="s">
        <v>506</v>
      </c>
      <c r="C120" s="13">
        <v>125</v>
      </c>
      <c r="D120" s="14" t="s">
        <v>16</v>
      </c>
      <c r="E120" s="14" t="s">
        <v>507</v>
      </c>
      <c r="F120" s="15">
        <v>542030705</v>
      </c>
      <c r="G120" s="14" t="s">
        <v>1</v>
      </c>
      <c r="H120" s="16">
        <v>0.61319444444444449</v>
      </c>
      <c r="I120" s="14" t="s">
        <v>2</v>
      </c>
      <c r="J120" s="17">
        <v>45758</v>
      </c>
      <c r="K120" s="17">
        <v>45828</v>
      </c>
      <c r="L120" s="13">
        <f>IF(ISBLANK([1]!DATA[[#This Row],[DISCHARGE DATE]]),"NO DISCHARGE DATE",[1]!DATA[[#This Row],[DISCHARGE DATE]]-[1]!DATA[[#This Row],[ADMISSION DATE]]+1)</f>
        <v>79</v>
      </c>
      <c r="M120" s="18">
        <v>350</v>
      </c>
      <c r="N120" s="18">
        <v>923</v>
      </c>
      <c r="O120" s="19" t="s">
        <v>508</v>
      </c>
      <c r="P120" s="19" t="s">
        <v>509</v>
      </c>
      <c r="Q120" s="20" cm="1">
        <f t="array" ref="Q120">_xlfn.IFS([1]!DATA[[#This Row],[TYPE]]="Normal",[1]!DATA[[#This Row],[STORAGE DAYS]]*13,[1]!DATA[[#This Row],[TYPE]]="VIP",[1]!DATA[[#This Row],[STORAGE DAYS]]*20)</f>
        <v>1580</v>
      </c>
      <c r="R120" s="11" t="str">
        <f>IF(ISBLANK([1]!DATA[[#This Row],[COLDROOM RECEIPT]]),"IN CUSTODY","DISCHARGED")</f>
        <v>DISCHARGED</v>
      </c>
    </row>
    <row r="121" spans="1:18" ht="19.8">
      <c r="A121" s="1" t="s">
        <v>510</v>
      </c>
      <c r="B121" s="2" t="s">
        <v>511</v>
      </c>
      <c r="C121" s="2">
        <v>66</v>
      </c>
      <c r="D121" s="3" t="s">
        <v>0</v>
      </c>
      <c r="E121" s="3" t="s">
        <v>512</v>
      </c>
      <c r="F121" s="4">
        <v>242310642</v>
      </c>
      <c r="G121" s="3" t="s">
        <v>1</v>
      </c>
      <c r="H121" s="5">
        <v>0.37847222222222221</v>
      </c>
      <c r="I121" s="3" t="s">
        <v>2</v>
      </c>
      <c r="J121" s="6">
        <v>45761</v>
      </c>
      <c r="K121" s="6">
        <v>45762</v>
      </c>
      <c r="L121" s="2">
        <f>IF(ISBLANK([1]!DATA[[#This Row],[DISCHARGE DATE]]),"NO DISCHARGE DATE",[1]!DATA[[#This Row],[DISCHARGE DATE]]-[1]!DATA[[#This Row],[ADMISSION DATE]]+1)</f>
        <v>71</v>
      </c>
      <c r="M121" s="7">
        <v>350</v>
      </c>
      <c r="N121" s="7">
        <v>26</v>
      </c>
      <c r="O121" s="8" t="s">
        <v>513</v>
      </c>
      <c r="P121" s="8" t="s">
        <v>310</v>
      </c>
      <c r="Q121" s="10" cm="1">
        <f t="array" ref="Q121">_xlfn.IFS([1]!DATA[[#This Row],[TYPE]]="Normal",[1]!DATA[[#This Row],[STORAGE DAYS]]*13,[1]!DATA[[#This Row],[TYPE]]="VIP",[1]!DATA[[#This Row],[STORAGE DAYS]]*20)</f>
        <v>923</v>
      </c>
      <c r="R121" s="11" t="str">
        <f>IF(ISBLANK([1]!DATA[[#This Row],[COLDROOM RECEIPT]]),"IN CUSTODY","DISCHARGED")</f>
        <v>DISCHARGED</v>
      </c>
    </row>
    <row r="122" spans="1:18" ht="19.8">
      <c r="A122" s="1" t="s">
        <v>514</v>
      </c>
      <c r="B122" s="2" t="s">
        <v>515</v>
      </c>
      <c r="C122" s="2">
        <v>74</v>
      </c>
      <c r="D122" s="3" t="s">
        <v>0</v>
      </c>
      <c r="E122" s="3" t="s">
        <v>516</v>
      </c>
      <c r="F122" s="4">
        <v>559213415</v>
      </c>
      <c r="G122" s="3" t="s">
        <v>11</v>
      </c>
      <c r="H122" s="5">
        <v>0.66666666666666663</v>
      </c>
      <c r="I122" s="3" t="s">
        <v>2</v>
      </c>
      <c r="J122" s="6">
        <v>45758</v>
      </c>
      <c r="K122" s="6">
        <v>45989</v>
      </c>
      <c r="L122" s="2">
        <f>IF(ISBLANK([1]!DATA[[#This Row],[DISCHARGE DATE]]),"NO DISCHARGE DATE",[1]!DATA[[#This Row],[DISCHARGE DATE]]-[1]!DATA[[#This Row],[ADMISSION DATE]]+1)</f>
        <v>2</v>
      </c>
      <c r="M122" s="7">
        <v>350</v>
      </c>
      <c r="N122" s="7">
        <v>3016</v>
      </c>
      <c r="O122" s="8" t="s">
        <v>517</v>
      </c>
      <c r="P122" s="8" t="s">
        <v>518</v>
      </c>
      <c r="Q122" s="10" cm="1">
        <f t="array" ref="Q122">_xlfn.IFS([1]!DATA[[#This Row],[TYPE]]="Normal",[1]!DATA[[#This Row],[STORAGE DAYS]]*13,[1]!DATA[[#This Row],[TYPE]]="VIP",[1]!DATA[[#This Row],[STORAGE DAYS]]*20)</f>
        <v>26</v>
      </c>
      <c r="R122" s="11" t="str">
        <f>IF(ISBLANK([1]!DATA[[#This Row],[COLDROOM RECEIPT]]),"IN CUSTODY","DISCHARGED")</f>
        <v>DISCHARGED</v>
      </c>
    </row>
    <row r="123" spans="1:18" ht="19.8">
      <c r="A123" s="1" t="s">
        <v>519</v>
      </c>
      <c r="B123" s="2" t="s">
        <v>520</v>
      </c>
      <c r="C123" s="2">
        <v>62</v>
      </c>
      <c r="D123" s="3" t="s">
        <v>0</v>
      </c>
      <c r="E123" s="3" t="s">
        <v>521</v>
      </c>
      <c r="F123" s="4">
        <v>242827233</v>
      </c>
      <c r="G123" s="3" t="s">
        <v>1</v>
      </c>
      <c r="H123" s="5">
        <v>0.79166666666666663</v>
      </c>
      <c r="I123" s="3" t="s">
        <v>2</v>
      </c>
      <c r="J123" s="6">
        <v>45760</v>
      </c>
      <c r="K123" s="6">
        <v>45898</v>
      </c>
      <c r="L123" s="2">
        <f>IF(ISBLANK([1]!DATA[[#This Row],[DISCHARGE DATE]]),"NO DISCHARGE DATE",[1]!DATA[[#This Row],[DISCHARGE DATE]]-[1]!DATA[[#This Row],[ADMISSION DATE]]+1)</f>
        <v>232</v>
      </c>
      <c r="M123" s="7">
        <v>350</v>
      </c>
      <c r="N123" s="7">
        <v>1807</v>
      </c>
      <c r="O123" s="8" t="s">
        <v>522</v>
      </c>
      <c r="P123" s="8" t="s">
        <v>523</v>
      </c>
      <c r="Q123" s="10" cm="1">
        <f t="array" ref="Q123">_xlfn.IFS([1]!DATA[[#This Row],[TYPE]]="Normal",[1]!DATA[[#This Row],[STORAGE DAYS]]*13,[1]!DATA[[#This Row],[TYPE]]="VIP",[1]!DATA[[#This Row],[STORAGE DAYS]]*20)</f>
        <v>3016</v>
      </c>
      <c r="R123" s="11" t="str">
        <f>IF(ISBLANK([1]!DATA[[#This Row],[COLDROOM RECEIPT]]),"IN CUSTODY","DISCHARGED")</f>
        <v>DISCHARGED</v>
      </c>
    </row>
    <row r="124" spans="1:18" ht="19.8">
      <c r="A124" s="1" t="s">
        <v>524</v>
      </c>
      <c r="B124" s="2" t="s">
        <v>525</v>
      </c>
      <c r="C124" s="2">
        <v>60</v>
      </c>
      <c r="D124" s="3" t="s">
        <v>16</v>
      </c>
      <c r="E124" s="3" t="s">
        <v>526</v>
      </c>
      <c r="F124" s="4">
        <v>249155143</v>
      </c>
      <c r="G124" s="3" t="s">
        <v>1</v>
      </c>
      <c r="H124" s="5">
        <v>0.625</v>
      </c>
      <c r="I124" s="3" t="s">
        <v>145</v>
      </c>
      <c r="J124" s="6">
        <v>45761</v>
      </c>
      <c r="K124" s="6">
        <v>45989</v>
      </c>
      <c r="L124" s="2">
        <f>IF(ISBLANK([1]!DATA[[#This Row],[DISCHARGE DATE]]),"NO DISCHARGE DATE",[1]!DATA[[#This Row],[DISCHARGE DATE]]-[1]!DATA[[#This Row],[ADMISSION DATE]]+1)</f>
        <v>139</v>
      </c>
      <c r="M124" s="7">
        <v>350</v>
      </c>
      <c r="N124" s="7">
        <v>4380</v>
      </c>
      <c r="O124" s="8" t="s">
        <v>527</v>
      </c>
      <c r="P124" s="8" t="s">
        <v>435</v>
      </c>
      <c r="Q124" s="10" cm="1">
        <f t="array" ref="Q124">_xlfn.IFS([1]!DATA[[#This Row],[TYPE]]="Normal",[1]!DATA[[#This Row],[STORAGE DAYS]]*13,[1]!DATA[[#This Row],[TYPE]]="VIP",[1]!DATA[[#This Row],[STORAGE DAYS]]*20)</f>
        <v>1807</v>
      </c>
      <c r="R124" s="11" t="str">
        <f>IF(ISBLANK([1]!DATA[[#This Row],[COLDROOM RECEIPT]]),"IN CUSTODY","DISCHARGED")</f>
        <v>DISCHARGED</v>
      </c>
    </row>
    <row r="125" spans="1:18" ht="19.8">
      <c r="A125" s="1" t="s">
        <v>528</v>
      </c>
      <c r="B125" s="2" t="s">
        <v>529</v>
      </c>
      <c r="C125" s="2">
        <v>46</v>
      </c>
      <c r="D125" s="3" t="s">
        <v>16</v>
      </c>
      <c r="E125" s="3" t="s">
        <v>530</v>
      </c>
      <c r="F125" s="4">
        <v>244706518</v>
      </c>
      <c r="G125" s="3" t="s">
        <v>449</v>
      </c>
      <c r="H125" s="5">
        <v>0.66666666666666663</v>
      </c>
      <c r="I125" s="3" t="s">
        <v>145</v>
      </c>
      <c r="J125" s="6">
        <v>45761</v>
      </c>
      <c r="K125" s="6">
        <v>45870</v>
      </c>
      <c r="L125" s="2">
        <f>IF(ISBLANK([1]!DATA[[#This Row],[DISCHARGE DATE]]),"NO DISCHARGE DATE",[1]!DATA[[#This Row],[DISCHARGE DATE]]-[1]!DATA[[#This Row],[ADMISSION DATE]]+1)</f>
        <v>229</v>
      </c>
      <c r="M125" s="7">
        <v>350</v>
      </c>
      <c r="N125" s="7">
        <v>2200</v>
      </c>
      <c r="O125" s="8" t="s">
        <v>531</v>
      </c>
      <c r="P125" s="8" t="s">
        <v>532</v>
      </c>
      <c r="Q125" s="10" cm="1">
        <f t="array" ref="Q125">_xlfn.IFS([1]!DATA[[#This Row],[TYPE]]="Normal",[1]!DATA[[#This Row],[STORAGE DAYS]]*13,[1]!DATA[[#This Row],[TYPE]]="VIP",[1]!DATA[[#This Row],[STORAGE DAYS]]*20)</f>
        <v>4580</v>
      </c>
      <c r="R125" s="11" t="str">
        <f>IF(ISBLANK([1]!DATA[[#This Row],[COLDROOM RECEIPT]]),"IN CUSTODY","DISCHARGED")</f>
        <v>DISCHARGED</v>
      </c>
    </row>
    <row r="126" spans="1:18" ht="19.8">
      <c r="A126" s="1" t="s">
        <v>533</v>
      </c>
      <c r="B126" s="2" t="s">
        <v>534</v>
      </c>
      <c r="C126" s="2">
        <v>15</v>
      </c>
      <c r="D126" s="3" t="s">
        <v>16</v>
      </c>
      <c r="E126" s="3" t="s">
        <v>535</v>
      </c>
      <c r="F126" s="4">
        <v>556250660</v>
      </c>
      <c r="G126" s="3" t="s">
        <v>1</v>
      </c>
      <c r="H126" s="5">
        <v>0.61458333333333337</v>
      </c>
      <c r="I126" s="3" t="s">
        <v>2</v>
      </c>
      <c r="J126" s="6">
        <v>45762</v>
      </c>
      <c r="K126" s="6">
        <v>45771</v>
      </c>
      <c r="L126" s="2">
        <f>IF(ISBLANK([1]!DATA[[#This Row],[DISCHARGE DATE]]),"NO DISCHARGE DATE",[1]!DATA[[#This Row],[DISCHARGE DATE]]-[1]!DATA[[#This Row],[ADMISSION DATE]]+1)</f>
        <v>110</v>
      </c>
      <c r="M126" s="7">
        <v>350</v>
      </c>
      <c r="N126" s="7">
        <v>130</v>
      </c>
      <c r="O126" s="8" t="s">
        <v>536</v>
      </c>
      <c r="P126" s="8" t="s">
        <v>315</v>
      </c>
      <c r="Q126" s="10" cm="1">
        <f t="array" ref="Q126">_xlfn.IFS([1]!DATA[[#This Row],[TYPE]]="Normal",[1]!DATA[[#This Row],[STORAGE DAYS]]*13,[1]!DATA[[#This Row],[TYPE]]="VIP",[1]!DATA[[#This Row],[STORAGE DAYS]]*20)</f>
        <v>2200</v>
      </c>
      <c r="R126" s="11" t="str">
        <f>IF(ISBLANK([1]!DATA[[#This Row],[COLDROOM RECEIPT]]),"IN CUSTODY","DISCHARGED")</f>
        <v>DISCHARGED</v>
      </c>
    </row>
    <row r="127" spans="1:18" ht="19.8">
      <c r="A127" s="1" t="s">
        <v>537</v>
      </c>
      <c r="B127" s="2" t="s">
        <v>538</v>
      </c>
      <c r="C127" s="2">
        <v>54</v>
      </c>
      <c r="D127" s="3" t="s">
        <v>16</v>
      </c>
      <c r="E127" s="3" t="s">
        <v>497</v>
      </c>
      <c r="F127" s="4">
        <v>543171106</v>
      </c>
      <c r="G127" s="3" t="s">
        <v>539</v>
      </c>
      <c r="H127" s="5">
        <v>0.4201388888888889</v>
      </c>
      <c r="I127" s="3" t="s">
        <v>145</v>
      </c>
      <c r="J127" s="6">
        <v>45763</v>
      </c>
      <c r="K127" s="6">
        <v>45959</v>
      </c>
      <c r="L127" s="2">
        <f>IF(ISBLANK([1]!DATA[[#This Row],[DISCHARGE DATE]]),"NO DISCHARGE DATE",[1]!DATA[[#This Row],[DISCHARGE DATE]]-[1]!DATA[[#This Row],[ADMISSION DATE]]+1)</f>
        <v>10</v>
      </c>
      <c r="M127" s="7">
        <v>350</v>
      </c>
      <c r="N127" s="7">
        <v>3940</v>
      </c>
      <c r="O127" s="8" t="s">
        <v>540</v>
      </c>
      <c r="P127" s="8" t="s">
        <v>541</v>
      </c>
      <c r="Q127" s="10" cm="1">
        <f t="array" ref="Q127">_xlfn.IFS([1]!DATA[[#This Row],[TYPE]]="Normal",[1]!DATA[[#This Row],[STORAGE DAYS]]*13,[1]!DATA[[#This Row],[TYPE]]="VIP",[1]!DATA[[#This Row],[STORAGE DAYS]]*20)</f>
        <v>130</v>
      </c>
      <c r="R127" s="11" t="str">
        <f>IF(ISBLANK([1]!DATA[[#This Row],[COLDROOM RECEIPT]]),"IN CUSTODY","DISCHARGED")</f>
        <v>DISCHARGED</v>
      </c>
    </row>
    <row r="128" spans="1:18" ht="19.8">
      <c r="A128" s="1" t="s">
        <v>542</v>
      </c>
      <c r="B128" s="2" t="s">
        <v>543</v>
      </c>
      <c r="C128" s="2">
        <v>28</v>
      </c>
      <c r="D128" s="3" t="s">
        <v>0</v>
      </c>
      <c r="E128" s="3" t="s">
        <v>544</v>
      </c>
      <c r="F128" s="4">
        <v>533541189</v>
      </c>
      <c r="G128" s="3" t="s">
        <v>64</v>
      </c>
      <c r="H128" s="5">
        <v>0.60416666666666663</v>
      </c>
      <c r="I128" s="3" t="s">
        <v>2</v>
      </c>
      <c r="J128" s="6">
        <v>45763</v>
      </c>
      <c r="K128" s="6">
        <v>45807</v>
      </c>
      <c r="L128" s="2">
        <f>IF(ISBLANK([1]!DATA[[#This Row],[DISCHARGE DATE]]),"NO DISCHARGE DATE",[1]!DATA[[#This Row],[DISCHARGE DATE]]-[1]!DATA[[#This Row],[ADMISSION DATE]]+1)</f>
        <v>197</v>
      </c>
      <c r="M128" s="7">
        <v>350</v>
      </c>
      <c r="N128" s="7">
        <v>585</v>
      </c>
      <c r="O128" s="8" t="s">
        <v>545</v>
      </c>
      <c r="P128" s="8" t="s">
        <v>546</v>
      </c>
      <c r="Q128" s="10" cm="1">
        <f t="array" ref="Q128">_xlfn.IFS([1]!DATA[[#This Row],[TYPE]]="Normal",[1]!DATA[[#This Row],[STORAGE DAYS]]*13,[1]!DATA[[#This Row],[TYPE]]="VIP",[1]!DATA[[#This Row],[STORAGE DAYS]]*20)</f>
        <v>3940</v>
      </c>
      <c r="R128" s="11" t="str">
        <f>IF(ISBLANK([1]!DATA[[#This Row],[COLDROOM RECEIPT]]),"IN CUSTODY","DISCHARGED")</f>
        <v>DISCHARGED</v>
      </c>
    </row>
    <row r="129" spans="1:18" ht="19.8">
      <c r="A129" s="1" t="s">
        <v>547</v>
      </c>
      <c r="B129" s="2" t="s">
        <v>548</v>
      </c>
      <c r="C129" s="2">
        <v>75</v>
      </c>
      <c r="D129" s="3" t="s">
        <v>16</v>
      </c>
      <c r="E129" s="3" t="s">
        <v>549</v>
      </c>
      <c r="F129" s="4">
        <v>543475015</v>
      </c>
      <c r="G129" s="3" t="s">
        <v>550</v>
      </c>
      <c r="H129" s="5">
        <v>0.9375</v>
      </c>
      <c r="I129" s="3" t="s">
        <v>2</v>
      </c>
      <c r="J129" s="6">
        <v>45763</v>
      </c>
      <c r="K129" s="6">
        <v>45982</v>
      </c>
      <c r="L129" s="2">
        <f>IF(ISBLANK([1]!DATA[[#This Row],[DISCHARGE DATE]]),"NO DISCHARGE DATE",[1]!DATA[[#This Row],[DISCHARGE DATE]]-[1]!DATA[[#This Row],[ADMISSION DATE]]+1)</f>
        <v>45</v>
      </c>
      <c r="M129" s="7">
        <v>350</v>
      </c>
      <c r="N129" s="7">
        <v>2760</v>
      </c>
      <c r="O129" s="8" t="s">
        <v>551</v>
      </c>
      <c r="P129" s="8" t="s">
        <v>552</v>
      </c>
      <c r="Q129" s="10" cm="1">
        <f t="array" ref="Q129">_xlfn.IFS([1]!DATA[[#This Row],[TYPE]]="Normal",[1]!DATA[[#This Row],[STORAGE DAYS]]*13,[1]!DATA[[#This Row],[TYPE]]="VIP",[1]!DATA[[#This Row],[STORAGE DAYS]]*20)</f>
        <v>585</v>
      </c>
      <c r="R129" s="11" t="str">
        <f>IF(ISBLANK([1]!DATA[[#This Row],[COLDROOM RECEIPT]]),"IN CUSTODY","DISCHARGED")</f>
        <v>DISCHARGED</v>
      </c>
    </row>
    <row r="130" spans="1:18" ht="19.8">
      <c r="A130" s="1" t="s">
        <v>553</v>
      </c>
      <c r="B130" s="2" t="s">
        <v>554</v>
      </c>
      <c r="C130" s="2">
        <v>60</v>
      </c>
      <c r="D130" s="3" t="s">
        <v>0</v>
      </c>
      <c r="E130" s="3" t="s">
        <v>555</v>
      </c>
      <c r="F130" s="4">
        <v>249082610</v>
      </c>
      <c r="G130" s="3" t="s">
        <v>1</v>
      </c>
      <c r="H130" s="5">
        <v>0.64583333333333337</v>
      </c>
      <c r="I130" s="3" t="s">
        <v>2</v>
      </c>
      <c r="J130" s="6">
        <v>45765</v>
      </c>
      <c r="K130" s="6">
        <v>45870</v>
      </c>
      <c r="L130" s="2">
        <f>IF(ISBLANK([1]!DATA[[#This Row],[DISCHARGE DATE]]),"NO DISCHARGE DATE",[1]!DATA[[#This Row],[DISCHARGE DATE]]-[1]!DATA[[#This Row],[ADMISSION DATE]]+1)</f>
        <v>220</v>
      </c>
      <c r="M130" s="7">
        <v>350</v>
      </c>
      <c r="N130" s="7">
        <v>1378</v>
      </c>
      <c r="O130" s="8" t="s">
        <v>556</v>
      </c>
      <c r="P130" s="8" t="s">
        <v>557</v>
      </c>
      <c r="Q130" s="10" cm="1">
        <f t="array" ref="Q130">_xlfn.IFS([1]!DATA[[#This Row],[TYPE]]="Normal",[1]!DATA[[#This Row],[STORAGE DAYS]]*13,[1]!DATA[[#This Row],[TYPE]]="VIP",[1]!DATA[[#This Row],[STORAGE DAYS]]*20)</f>
        <v>2860</v>
      </c>
      <c r="R130" s="11" t="str">
        <f>IF(ISBLANK([1]!DATA[[#This Row],[COLDROOM RECEIPT]]),"IN CUSTODY","DISCHARGED")</f>
        <v>DISCHARGED</v>
      </c>
    </row>
    <row r="131" spans="1:18" ht="19.8">
      <c r="A131" s="1" t="s">
        <v>558</v>
      </c>
      <c r="B131" s="2" t="s">
        <v>559</v>
      </c>
      <c r="C131" s="2">
        <v>81</v>
      </c>
      <c r="D131" s="3" t="s">
        <v>0</v>
      </c>
      <c r="E131" s="3" t="s">
        <v>560</v>
      </c>
      <c r="F131" s="4">
        <v>244126977</v>
      </c>
      <c r="G131" s="3" t="s">
        <v>561</v>
      </c>
      <c r="H131" s="5">
        <v>0.22916666666666666</v>
      </c>
      <c r="I131" s="3" t="s">
        <v>145</v>
      </c>
      <c r="J131" s="6">
        <v>45766</v>
      </c>
      <c r="K131" s="6">
        <v>45905</v>
      </c>
      <c r="L131" s="2">
        <f>IF(ISBLANK([1]!DATA[[#This Row],[DISCHARGE DATE]]),"NO DISCHARGE DATE",[1]!DATA[[#This Row],[DISCHARGE DATE]]-[1]!DATA[[#This Row],[ADMISSION DATE]]+1)</f>
        <v>106</v>
      </c>
      <c r="M131" s="7">
        <v>350</v>
      </c>
      <c r="N131" s="7">
        <v>2800</v>
      </c>
      <c r="O131" s="8" t="s">
        <v>562</v>
      </c>
      <c r="P131" s="8" t="s">
        <v>563</v>
      </c>
      <c r="Q131" s="10" cm="1">
        <f t="array" ref="Q131">_xlfn.IFS([1]!DATA[[#This Row],[TYPE]]="Normal",[1]!DATA[[#This Row],[STORAGE DAYS]]*13,[1]!DATA[[#This Row],[TYPE]]="VIP",[1]!DATA[[#This Row],[STORAGE DAYS]]*20)</f>
        <v>1378</v>
      </c>
      <c r="R131" s="11" t="str">
        <f>IF(ISBLANK([1]!DATA[[#This Row],[COLDROOM RECEIPT]]),"IN CUSTODY","DISCHARGED")</f>
        <v>DISCHARGED</v>
      </c>
    </row>
    <row r="132" spans="1:18" ht="19.8">
      <c r="A132" s="1" t="s">
        <v>564</v>
      </c>
      <c r="B132" s="2" t="s">
        <v>565</v>
      </c>
      <c r="C132" s="2">
        <v>50</v>
      </c>
      <c r="D132" s="3" t="s">
        <v>0</v>
      </c>
      <c r="E132" s="3" t="s">
        <v>566</v>
      </c>
      <c r="F132" s="4">
        <v>243650763</v>
      </c>
      <c r="G132" s="3" t="s">
        <v>11</v>
      </c>
      <c r="H132" s="5">
        <v>0.5625</v>
      </c>
      <c r="I132" s="3" t="s">
        <v>2</v>
      </c>
      <c r="J132" s="6">
        <v>45777</v>
      </c>
      <c r="K132" s="6">
        <v>45961</v>
      </c>
      <c r="L132" s="2">
        <f>IF(ISBLANK([1]!DATA[[#This Row],[DISCHARGE DATE]]),"NO DISCHARGE DATE",[1]!DATA[[#This Row],[DISCHARGE DATE]]-[1]!DATA[[#This Row],[ADMISSION DATE]]+1)</f>
        <v>140</v>
      </c>
      <c r="M132" s="7">
        <v>350</v>
      </c>
      <c r="N132" s="7">
        <v>2405</v>
      </c>
      <c r="O132" s="8" t="s">
        <v>567</v>
      </c>
      <c r="P132" s="8" t="s">
        <v>568</v>
      </c>
      <c r="Q132" s="10" cm="1">
        <f t="array" ref="Q132">_xlfn.IFS([1]!DATA[[#This Row],[TYPE]]="Normal",[1]!DATA[[#This Row],[STORAGE DAYS]]*13,[1]!DATA[[#This Row],[TYPE]]="VIP",[1]!DATA[[#This Row],[STORAGE DAYS]]*20)</f>
        <v>2800</v>
      </c>
      <c r="R132" s="11" t="str">
        <f>IF(ISBLANK([1]!DATA[[#This Row],[COLDROOM RECEIPT]]),"IN CUSTODY","DISCHARGED")</f>
        <v>DISCHARGED</v>
      </c>
    </row>
    <row r="133" spans="1:18" ht="19.8">
      <c r="A133" s="1" t="s">
        <v>569</v>
      </c>
      <c r="B133" s="2" t="s">
        <v>570</v>
      </c>
      <c r="C133" s="2">
        <v>45</v>
      </c>
      <c r="D133" s="3" t="s">
        <v>0</v>
      </c>
      <c r="E133" s="3" t="s">
        <v>571</v>
      </c>
      <c r="F133" s="4">
        <v>249608599</v>
      </c>
      <c r="G133" s="3" t="s">
        <v>1</v>
      </c>
      <c r="H133" s="5">
        <v>0.40277777777777779</v>
      </c>
      <c r="I133" s="3" t="s">
        <v>2</v>
      </c>
      <c r="J133" s="6">
        <v>45778</v>
      </c>
      <c r="K133" s="6">
        <v>45849</v>
      </c>
      <c r="L133" s="2">
        <f>IF(ISBLANK([1]!DATA[[#This Row],[DISCHARGE DATE]]),"NO DISCHARGE DATE",[1]!DATA[[#This Row],[DISCHARGE DATE]]-[1]!DATA[[#This Row],[ADMISSION DATE]]+1)</f>
        <v>185</v>
      </c>
      <c r="M133" s="7">
        <v>350</v>
      </c>
      <c r="N133" s="7">
        <v>936</v>
      </c>
      <c r="O133" s="8" t="s">
        <v>572</v>
      </c>
      <c r="P133" s="8" t="s">
        <v>573</v>
      </c>
      <c r="Q133" s="10" cm="1">
        <f t="array" ref="Q133">_xlfn.IFS([1]!DATA[[#This Row],[TYPE]]="Normal",[1]!DATA[[#This Row],[STORAGE DAYS]]*13,[1]!DATA[[#This Row],[TYPE]]="VIP",[1]!DATA[[#This Row],[STORAGE DAYS]]*20)</f>
        <v>2405</v>
      </c>
      <c r="R133" s="11" t="str">
        <f>IF(ISBLANK([1]!DATA[[#This Row],[COLDROOM RECEIPT]]),"IN CUSTODY","DISCHARGED")</f>
        <v>DISCHARGED</v>
      </c>
    </row>
    <row r="134" spans="1:18" ht="19.8">
      <c r="A134" s="1" t="s">
        <v>574</v>
      </c>
      <c r="B134" s="2" t="s">
        <v>575</v>
      </c>
      <c r="C134" s="2">
        <v>78</v>
      </c>
      <c r="D134" s="3" t="s">
        <v>16</v>
      </c>
      <c r="E134" s="3" t="s">
        <v>576</v>
      </c>
      <c r="F134" s="4">
        <v>246381281</v>
      </c>
      <c r="G134" s="3" t="s">
        <v>1</v>
      </c>
      <c r="H134" s="5">
        <v>0.91666666666666663</v>
      </c>
      <c r="I134" s="3" t="s">
        <v>145</v>
      </c>
      <c r="J134" s="6">
        <v>45779</v>
      </c>
      <c r="K134" s="6">
        <v>45933</v>
      </c>
      <c r="L134" s="2">
        <f>IF(ISBLANK([1]!DATA[[#This Row],[DISCHARGE DATE]]),"NO DISCHARGE DATE",[1]!DATA[[#This Row],[DISCHARGE DATE]]-[1]!DATA[[#This Row],[ADMISSION DATE]]+1)</f>
        <v>72</v>
      </c>
      <c r="M134" s="7">
        <v>350</v>
      </c>
      <c r="N134" s="7">
        <v>3100</v>
      </c>
      <c r="O134" s="8" t="s">
        <v>577</v>
      </c>
      <c r="P134" s="8" t="s">
        <v>578</v>
      </c>
      <c r="Q134" s="10" cm="1">
        <f t="array" ref="Q134">_xlfn.IFS([1]!DATA[[#This Row],[TYPE]]="Normal",[1]!DATA[[#This Row],[STORAGE DAYS]]*13,[1]!DATA[[#This Row],[TYPE]]="VIP",[1]!DATA[[#This Row],[STORAGE DAYS]]*20)</f>
        <v>936</v>
      </c>
      <c r="R134" s="11" t="str">
        <f>IF(ISBLANK([1]!DATA[[#This Row],[COLDROOM RECEIPT]]),"IN CUSTODY","DISCHARGED")</f>
        <v>DISCHARGED</v>
      </c>
    </row>
    <row r="135" spans="1:18" ht="19.8">
      <c r="A135" s="1" t="s">
        <v>579</v>
      </c>
      <c r="B135" s="2" t="s">
        <v>580</v>
      </c>
      <c r="C135" s="2">
        <v>81</v>
      </c>
      <c r="D135" s="3" t="s">
        <v>0</v>
      </c>
      <c r="E135" s="3" t="s">
        <v>581</v>
      </c>
      <c r="F135" s="4">
        <v>246708361</v>
      </c>
      <c r="G135" s="3" t="s">
        <v>582</v>
      </c>
      <c r="H135" s="5">
        <v>0.83333333333333337</v>
      </c>
      <c r="I135" s="3" t="s">
        <v>145</v>
      </c>
      <c r="J135" s="6">
        <v>45781</v>
      </c>
      <c r="K135" s="6">
        <v>45961</v>
      </c>
      <c r="L135" s="2">
        <f>IF(ISBLANK([1]!DATA[[#This Row],[DISCHARGE DATE]]),"NO DISCHARGE DATE",[1]!DATA[[#This Row],[DISCHARGE DATE]]-[1]!DATA[[#This Row],[ADMISSION DATE]]+1)</f>
        <v>155</v>
      </c>
      <c r="M135" s="7">
        <v>350</v>
      </c>
      <c r="N135" s="7">
        <v>3620</v>
      </c>
      <c r="O135" s="8" t="s">
        <v>583</v>
      </c>
      <c r="P135" s="8" t="s">
        <v>584</v>
      </c>
      <c r="Q135" s="10" cm="1">
        <f t="array" ref="Q135">_xlfn.IFS([1]!DATA[[#This Row],[TYPE]]="Normal",[1]!DATA[[#This Row],[STORAGE DAYS]]*13,[1]!DATA[[#This Row],[TYPE]]="VIP",[1]!DATA[[#This Row],[STORAGE DAYS]]*20)</f>
        <v>3100</v>
      </c>
      <c r="R135" s="11" t="str">
        <f>IF(ISBLANK([1]!DATA[[#This Row],[COLDROOM RECEIPT]]),"IN CUSTODY","DISCHARGED")</f>
        <v>DISCHARGED</v>
      </c>
    </row>
    <row r="136" spans="1:18" ht="19.8">
      <c r="A136" s="1" t="s">
        <v>585</v>
      </c>
      <c r="B136" s="2" t="s">
        <v>586</v>
      </c>
      <c r="C136" s="2">
        <v>63</v>
      </c>
      <c r="D136" s="3" t="s">
        <v>16</v>
      </c>
      <c r="E136" s="3" t="s">
        <v>587</v>
      </c>
      <c r="F136" s="4">
        <v>553066010</v>
      </c>
      <c r="G136" s="3" t="s">
        <v>1</v>
      </c>
      <c r="H136" s="5">
        <v>0.46180555555555558</v>
      </c>
      <c r="I136" s="3" t="s">
        <v>145</v>
      </c>
      <c r="J136" s="6">
        <v>45786</v>
      </c>
      <c r="K136" s="6">
        <v>45898</v>
      </c>
      <c r="L136" s="2">
        <f>IF(ISBLANK([1]!DATA[[#This Row],[DISCHARGE DATE]]),"NO DISCHARGE DATE",[1]!DATA[[#This Row],[DISCHARGE DATE]]-[1]!DATA[[#This Row],[ADMISSION DATE]]+1)</f>
        <v>181</v>
      </c>
      <c r="M136" s="7">
        <v>350</v>
      </c>
      <c r="N136" s="7">
        <v>2260</v>
      </c>
      <c r="O136" s="8" t="s">
        <v>588</v>
      </c>
      <c r="P136" s="8" t="s">
        <v>589</v>
      </c>
      <c r="Q136" s="10" cm="1">
        <f t="array" ref="Q136">_xlfn.IFS([1]!DATA[[#This Row],[TYPE]]="Normal",[1]!DATA[[#This Row],[STORAGE DAYS]]*13,[1]!DATA[[#This Row],[TYPE]]="VIP",[1]!DATA[[#This Row],[STORAGE DAYS]]*20)</f>
        <v>3620</v>
      </c>
      <c r="R136" s="11" t="str">
        <f>IF(ISBLANK([1]!DATA[[#This Row],[COLDROOM RECEIPT]]),"IN CUSTODY","DISCHARGED")</f>
        <v>DISCHARGED</v>
      </c>
    </row>
    <row r="137" spans="1:18" ht="19.8">
      <c r="A137" s="1" t="s">
        <v>590</v>
      </c>
      <c r="B137" s="2" t="s">
        <v>591</v>
      </c>
      <c r="C137" s="2">
        <v>54</v>
      </c>
      <c r="D137" s="3" t="s">
        <v>16</v>
      </c>
      <c r="E137" s="3" t="s">
        <v>592</v>
      </c>
      <c r="F137" s="4">
        <v>247404050</v>
      </c>
      <c r="G137" s="3" t="s">
        <v>539</v>
      </c>
      <c r="H137" s="5">
        <v>0.65277777777777779</v>
      </c>
      <c r="I137" s="3" t="s">
        <v>2</v>
      </c>
      <c r="J137" s="6">
        <v>45788</v>
      </c>
      <c r="K137" s="6">
        <v>45898</v>
      </c>
      <c r="L137" s="2">
        <f>IF(ISBLANK([1]!DATA[[#This Row],[DISCHARGE DATE]]),"NO DISCHARGE DATE",[1]!DATA[[#This Row],[DISCHARGE DATE]]-[1]!DATA[[#This Row],[ADMISSION DATE]]+1)</f>
        <v>113</v>
      </c>
      <c r="M137" s="7">
        <v>350</v>
      </c>
      <c r="N137" s="7">
        <v>1443</v>
      </c>
      <c r="O137" s="8" t="s">
        <v>593</v>
      </c>
      <c r="P137" s="8" t="s">
        <v>594</v>
      </c>
      <c r="Q137" s="10" cm="1">
        <f t="array" ref="Q137">_xlfn.IFS([1]!DATA[[#This Row],[TYPE]]="Normal",[1]!DATA[[#This Row],[STORAGE DAYS]]*13,[1]!DATA[[#This Row],[TYPE]]="VIP",[1]!DATA[[#This Row],[STORAGE DAYS]]*20)</f>
        <v>2260</v>
      </c>
      <c r="R137" s="11" t="str">
        <f>IF(ISBLANK([1]!DATA[[#This Row],[COLDROOM RECEIPT]]),"IN CUSTODY","DISCHARGED")</f>
        <v>DISCHARGED</v>
      </c>
    </row>
    <row r="138" spans="1:18" ht="19.8">
      <c r="A138" s="1" t="s">
        <v>595</v>
      </c>
      <c r="B138" s="2" t="s">
        <v>596</v>
      </c>
      <c r="C138" s="2">
        <v>62</v>
      </c>
      <c r="D138" s="3" t="s">
        <v>0</v>
      </c>
      <c r="E138" s="3" t="s">
        <v>597</v>
      </c>
      <c r="F138" s="4">
        <v>245776362</v>
      </c>
      <c r="G138" s="3" t="s">
        <v>156</v>
      </c>
      <c r="H138" s="5">
        <v>0.47916666666666669</v>
      </c>
      <c r="I138" s="3" t="s">
        <v>2</v>
      </c>
      <c r="J138" s="6">
        <v>45792</v>
      </c>
      <c r="K138" s="6">
        <v>45891</v>
      </c>
      <c r="L138" s="2">
        <f>IF(ISBLANK([1]!DATA[[#This Row],[DISCHARGE DATE]]),"NO DISCHARGE DATE",[1]!DATA[[#This Row],[DISCHARGE DATE]]-[1]!DATA[[#This Row],[ADMISSION DATE]]+1)</f>
        <v>111</v>
      </c>
      <c r="M138" s="7">
        <v>350</v>
      </c>
      <c r="N138" s="7">
        <v>1300</v>
      </c>
      <c r="O138" s="8" t="s">
        <v>598</v>
      </c>
      <c r="P138" s="8" t="s">
        <v>599</v>
      </c>
      <c r="Q138" s="10" cm="1">
        <f t="array" ref="Q138">_xlfn.IFS([1]!DATA[[#This Row],[TYPE]]="Normal",[1]!DATA[[#This Row],[STORAGE DAYS]]*13,[1]!DATA[[#This Row],[TYPE]]="VIP",[1]!DATA[[#This Row],[STORAGE DAYS]]*20)</f>
        <v>1443</v>
      </c>
      <c r="R138" s="11" t="str">
        <f>IF(ISBLANK([1]!DATA[[#This Row],[COLDROOM RECEIPT]]),"IN CUSTODY","DISCHARGED")</f>
        <v>DISCHARGED</v>
      </c>
    </row>
    <row r="139" spans="1:18" ht="19.8">
      <c r="A139" s="1" t="s">
        <v>600</v>
      </c>
      <c r="B139" s="2" t="s">
        <v>601</v>
      </c>
      <c r="C139" s="2">
        <v>42</v>
      </c>
      <c r="D139" s="3" t="s">
        <v>0</v>
      </c>
      <c r="E139" s="3" t="s">
        <v>602</v>
      </c>
      <c r="F139" s="4">
        <v>243660105</v>
      </c>
      <c r="G139" s="3" t="s">
        <v>1</v>
      </c>
      <c r="H139" s="5">
        <v>0.625</v>
      </c>
      <c r="I139" s="3" t="s">
        <v>2</v>
      </c>
      <c r="J139" s="6">
        <v>45797</v>
      </c>
      <c r="K139" s="6">
        <v>45870</v>
      </c>
      <c r="L139" s="2">
        <f>IF(ISBLANK([1]!DATA[[#This Row],[DISCHARGE DATE]]),"NO DISCHARGE DATE",[1]!DATA[[#This Row],[DISCHARGE DATE]]-[1]!DATA[[#This Row],[ADMISSION DATE]]+1)</f>
        <v>100</v>
      </c>
      <c r="M139" s="7">
        <v>350</v>
      </c>
      <c r="N139" s="7">
        <v>962</v>
      </c>
      <c r="O139" s="8" t="s">
        <v>603</v>
      </c>
      <c r="P139" s="8" t="s">
        <v>604</v>
      </c>
      <c r="Q139" s="10" cm="1">
        <f t="array" ref="Q139">_xlfn.IFS([1]!DATA[[#This Row],[TYPE]]="Normal",[1]!DATA[[#This Row],[STORAGE DAYS]]*13,[1]!DATA[[#This Row],[TYPE]]="VIP",[1]!DATA[[#This Row],[STORAGE DAYS]]*20)</f>
        <v>1300</v>
      </c>
      <c r="R139" s="11" t="str">
        <f>IF(ISBLANK([1]!DATA[[#This Row],[COLDROOM RECEIPT]]),"IN CUSTODY","DISCHARGED")</f>
        <v>DISCHARGED</v>
      </c>
    </row>
    <row r="140" spans="1:18" ht="19.8">
      <c r="A140" s="1" t="s">
        <v>605</v>
      </c>
      <c r="B140" s="2" t="s">
        <v>606</v>
      </c>
      <c r="C140" s="2">
        <v>59</v>
      </c>
      <c r="D140" s="3" t="s">
        <v>16</v>
      </c>
      <c r="E140" s="3" t="s">
        <v>566</v>
      </c>
      <c r="F140" s="4">
        <v>536038692</v>
      </c>
      <c r="G140" s="3" t="s">
        <v>1</v>
      </c>
      <c r="H140" s="5">
        <v>0.5</v>
      </c>
      <c r="I140" s="3" t="s">
        <v>2</v>
      </c>
      <c r="J140" s="6">
        <v>45798</v>
      </c>
      <c r="K140" s="6">
        <v>45961</v>
      </c>
      <c r="L140" s="2">
        <f>IF(ISBLANK([1]!DATA[[#This Row],[DISCHARGE DATE]]),"NO DISCHARGE DATE",[1]!DATA[[#This Row],[DISCHARGE DATE]]-[1]!DATA[[#This Row],[ADMISSION DATE]]+1)</f>
        <v>74</v>
      </c>
      <c r="M140" s="7">
        <v>350</v>
      </c>
      <c r="N140" s="7">
        <v>2132</v>
      </c>
      <c r="O140" s="8" t="s">
        <v>607</v>
      </c>
      <c r="P140" s="8" t="s">
        <v>608</v>
      </c>
      <c r="Q140" s="10" cm="1">
        <f t="array" ref="Q140">_xlfn.IFS([1]!DATA[[#This Row],[TYPE]]="Normal",[1]!DATA[[#This Row],[STORAGE DAYS]]*13,[1]!DATA[[#This Row],[TYPE]]="VIP",[1]!DATA[[#This Row],[STORAGE DAYS]]*20)</f>
        <v>962</v>
      </c>
      <c r="R140" s="11" t="str">
        <f>IF(ISBLANK([1]!DATA[[#This Row],[COLDROOM RECEIPT]]),"IN CUSTODY","DISCHARGED")</f>
        <v>DISCHARGED</v>
      </c>
    </row>
    <row r="141" spans="1:18" ht="19.8">
      <c r="A141" s="1" t="s">
        <v>609</v>
      </c>
      <c r="B141" s="2" t="s">
        <v>610</v>
      </c>
      <c r="C141" s="2">
        <v>60</v>
      </c>
      <c r="D141" s="3" t="s">
        <v>16</v>
      </c>
      <c r="E141" s="3" t="s">
        <v>611</v>
      </c>
      <c r="F141" s="4">
        <v>537667291</v>
      </c>
      <c r="G141" s="3" t="s">
        <v>612</v>
      </c>
      <c r="H141" s="5">
        <v>0.58333333333333337</v>
      </c>
      <c r="I141" s="3" t="s">
        <v>2</v>
      </c>
      <c r="J141" s="6">
        <v>45799</v>
      </c>
      <c r="K141" s="6">
        <v>45961</v>
      </c>
      <c r="L141" s="2">
        <f>IF(ISBLANK([1]!DATA[[#This Row],[DISCHARGE DATE]]),"NO DISCHARGE DATE",[1]!DATA[[#This Row],[DISCHARGE DATE]]-[1]!DATA[[#This Row],[ADMISSION DATE]]+1)</f>
        <v>164</v>
      </c>
      <c r="M141" s="7">
        <v>350</v>
      </c>
      <c r="N141" s="7">
        <v>2002</v>
      </c>
      <c r="O141" s="8" t="s">
        <v>613</v>
      </c>
      <c r="P141" s="8" t="s">
        <v>614</v>
      </c>
      <c r="Q141" s="10" cm="1">
        <f t="array" ref="Q141">_xlfn.IFS([1]!DATA[[#This Row],[TYPE]]="Normal",[1]!DATA[[#This Row],[STORAGE DAYS]]*13,[1]!DATA[[#This Row],[TYPE]]="VIP",[1]!DATA[[#This Row],[STORAGE DAYS]]*20)</f>
        <v>2132</v>
      </c>
      <c r="R141" s="11" t="str">
        <f>IF(ISBLANK([1]!DATA[[#This Row],[COLDROOM RECEIPT]]),"IN CUSTODY","DISCHARGED")</f>
        <v>DISCHARGED</v>
      </c>
    </row>
    <row r="142" spans="1:18" ht="19.8">
      <c r="A142" s="1" t="s">
        <v>615</v>
      </c>
      <c r="B142" s="2" t="s">
        <v>616</v>
      </c>
      <c r="C142" s="2">
        <v>61</v>
      </c>
      <c r="D142" s="3" t="s">
        <v>0</v>
      </c>
      <c r="E142" s="3" t="s">
        <v>617</v>
      </c>
      <c r="F142" s="4">
        <v>249810418</v>
      </c>
      <c r="G142" s="3" t="s">
        <v>1</v>
      </c>
      <c r="H142" s="5">
        <v>0.3125</v>
      </c>
      <c r="I142" s="3" t="s">
        <v>2</v>
      </c>
      <c r="J142" s="6">
        <v>45800</v>
      </c>
      <c r="K142" s="6">
        <v>45849</v>
      </c>
      <c r="L142" s="2">
        <f>IF(ISBLANK([1]!DATA[[#This Row],[DISCHARGE DATE]]),"NO DISCHARGE DATE",[1]!DATA[[#This Row],[DISCHARGE DATE]]-[1]!DATA[[#This Row],[ADMISSION DATE]]+1)</f>
        <v>163</v>
      </c>
      <c r="M142" s="7">
        <v>350</v>
      </c>
      <c r="N142" s="7">
        <v>650</v>
      </c>
      <c r="O142" s="8" t="s">
        <v>618</v>
      </c>
      <c r="P142" s="8" t="s">
        <v>619</v>
      </c>
      <c r="Q142" s="10" cm="1">
        <f t="array" ref="Q142">_xlfn.IFS([1]!DATA[[#This Row],[TYPE]]="Normal",[1]!DATA[[#This Row],[STORAGE DAYS]]*13,[1]!DATA[[#This Row],[TYPE]]="VIP",[1]!DATA[[#This Row],[STORAGE DAYS]]*20)</f>
        <v>2119</v>
      </c>
      <c r="R142" s="11" t="str">
        <f>IF(ISBLANK([1]!DATA[[#This Row],[COLDROOM RECEIPT]]),"IN CUSTODY","DISCHARGED")</f>
        <v>DISCHARGED</v>
      </c>
    </row>
    <row r="143" spans="1:18" ht="19.8">
      <c r="A143" s="1" t="s">
        <v>620</v>
      </c>
      <c r="B143" s="2" t="s">
        <v>621</v>
      </c>
      <c r="C143" s="2">
        <v>65</v>
      </c>
      <c r="D143" s="3" t="s">
        <v>0</v>
      </c>
      <c r="E143" s="3" t="s">
        <v>622</v>
      </c>
      <c r="F143" s="4">
        <v>545753195</v>
      </c>
      <c r="G143" s="3" t="s">
        <v>1</v>
      </c>
      <c r="H143" s="5">
        <v>0.33333333333333331</v>
      </c>
      <c r="I143" s="3" t="s">
        <v>145</v>
      </c>
      <c r="J143" s="6">
        <v>45802</v>
      </c>
      <c r="K143" s="6">
        <v>45989</v>
      </c>
      <c r="L143" s="2">
        <f>IF(ISBLANK([1]!DATA[[#This Row],[DISCHARGE DATE]]),"NO DISCHARGE DATE",[1]!DATA[[#This Row],[DISCHARGE DATE]]-[1]!DATA[[#This Row],[ADMISSION DATE]]+1)</f>
        <v>50</v>
      </c>
      <c r="M143" s="7">
        <v>350</v>
      </c>
      <c r="N143" s="7">
        <v>3560</v>
      </c>
      <c r="O143" s="8" t="s">
        <v>623</v>
      </c>
      <c r="P143" s="8" t="s">
        <v>468</v>
      </c>
      <c r="Q143" s="10" cm="1">
        <f t="array" ref="Q143">_xlfn.IFS([1]!DATA[[#This Row],[TYPE]]="Normal",[1]!DATA[[#This Row],[STORAGE DAYS]]*13,[1]!DATA[[#This Row],[TYPE]]="VIP",[1]!DATA[[#This Row],[STORAGE DAYS]]*20)</f>
        <v>650</v>
      </c>
      <c r="R143" s="11" t="str">
        <f>IF(ISBLANK([1]!DATA[[#This Row],[COLDROOM RECEIPT]]),"IN CUSTODY","DISCHARGED")</f>
        <v>DISCHARGED</v>
      </c>
    </row>
    <row r="144" spans="1:18" ht="19.8">
      <c r="A144" s="1" t="s">
        <v>624</v>
      </c>
      <c r="B144" s="2" t="s">
        <v>625</v>
      </c>
      <c r="C144" s="2">
        <v>66</v>
      </c>
      <c r="D144" s="3" t="s">
        <v>16</v>
      </c>
      <c r="E144" s="3" t="s">
        <v>626</v>
      </c>
      <c r="F144" s="4">
        <v>248139308</v>
      </c>
      <c r="G144" s="3" t="s">
        <v>1</v>
      </c>
      <c r="H144" s="5">
        <v>0.29166666666666669</v>
      </c>
      <c r="I144" s="3" t="s">
        <v>145</v>
      </c>
      <c r="J144" s="6">
        <v>45805</v>
      </c>
      <c r="K144" s="6">
        <v>45898</v>
      </c>
      <c r="L144" s="2">
        <f>IF(ISBLANK([1]!DATA[[#This Row],[DISCHARGE DATE]]),"NO DISCHARGE DATE",[1]!DATA[[#This Row],[DISCHARGE DATE]]-[1]!DATA[[#This Row],[ADMISSION DATE]]+1)</f>
        <v>188</v>
      </c>
      <c r="M144" s="7">
        <v>350</v>
      </c>
      <c r="N144" s="7">
        <v>1380</v>
      </c>
      <c r="O144" s="8" t="s">
        <v>627</v>
      </c>
      <c r="P144" s="8" t="s">
        <v>628</v>
      </c>
      <c r="Q144" s="10" cm="1">
        <f t="array" ref="Q144">_xlfn.IFS([1]!DATA[[#This Row],[TYPE]]="Normal",[1]!DATA[[#This Row],[STORAGE DAYS]]*13,[1]!DATA[[#This Row],[TYPE]]="VIP",[1]!DATA[[#This Row],[STORAGE DAYS]]*20)</f>
        <v>3760</v>
      </c>
      <c r="R144" s="11" t="str">
        <f>IF(ISBLANK([1]!DATA[[#This Row],[COLDROOM RECEIPT]]),"IN CUSTODY","DISCHARGED")</f>
        <v>DISCHARGED</v>
      </c>
    </row>
    <row r="145" spans="1:18" ht="19.8">
      <c r="A145" s="1" t="s">
        <v>629</v>
      </c>
      <c r="B145" s="2" t="s">
        <v>630</v>
      </c>
      <c r="C145" s="2">
        <v>65</v>
      </c>
      <c r="D145" s="3" t="s">
        <v>0</v>
      </c>
      <c r="E145" s="3" t="s">
        <v>631</v>
      </c>
      <c r="F145" s="4">
        <v>244934551</v>
      </c>
      <c r="G145" s="3" t="s">
        <v>632</v>
      </c>
      <c r="H145" s="5">
        <v>0.72916666666666663</v>
      </c>
      <c r="I145" s="3" t="s">
        <v>2</v>
      </c>
      <c r="J145" s="6">
        <v>45806</v>
      </c>
      <c r="K145" s="6">
        <v>45891</v>
      </c>
      <c r="L145" s="2">
        <f>IF(ISBLANK([1]!DATA[[#This Row],[DISCHARGE DATE]]),"NO DISCHARGE DATE",[1]!DATA[[#This Row],[DISCHARGE DATE]]-[1]!DATA[[#This Row],[ADMISSION DATE]]+1)</f>
        <v>94</v>
      </c>
      <c r="M145" s="7">
        <v>350</v>
      </c>
      <c r="N145" s="7">
        <v>1118</v>
      </c>
      <c r="O145" s="8" t="s">
        <v>633</v>
      </c>
      <c r="P145" s="8" t="s">
        <v>634</v>
      </c>
      <c r="Q145" s="10" cm="1">
        <f t="array" ref="Q145">_xlfn.IFS([1]!DATA[[#This Row],[TYPE]]="Normal",[1]!DATA[[#This Row],[STORAGE DAYS]]*13,[1]!DATA[[#This Row],[TYPE]]="VIP",[1]!DATA[[#This Row],[STORAGE DAYS]]*20)</f>
        <v>1880</v>
      </c>
      <c r="R145" s="11" t="str">
        <f>IF(ISBLANK([1]!DATA[[#This Row],[COLDROOM RECEIPT]]),"IN CUSTODY","DISCHARGED")</f>
        <v>DISCHARGED</v>
      </c>
    </row>
    <row r="146" spans="1:18" ht="19.8">
      <c r="A146" s="1" t="s">
        <v>635</v>
      </c>
      <c r="B146" s="2" t="s">
        <v>636</v>
      </c>
      <c r="C146" s="2">
        <v>63</v>
      </c>
      <c r="D146" s="3" t="s">
        <v>0</v>
      </c>
      <c r="E146" s="3" t="s">
        <v>637</v>
      </c>
      <c r="F146" s="4">
        <v>599135006</v>
      </c>
      <c r="G146" s="3" t="s">
        <v>1</v>
      </c>
      <c r="H146" s="5">
        <v>0.89583333333333337</v>
      </c>
      <c r="I146" s="3" t="s">
        <v>2</v>
      </c>
      <c r="J146" s="6">
        <v>45809</v>
      </c>
      <c r="K146" s="6">
        <v>45849</v>
      </c>
      <c r="L146" s="2">
        <f>IF(ISBLANK([1]!DATA[[#This Row],[DISCHARGE DATE]]),"NO DISCHARGE DATE",[1]!DATA[[#This Row],[DISCHARGE DATE]]-[1]!DATA[[#This Row],[ADMISSION DATE]]+1)</f>
        <v>86</v>
      </c>
      <c r="M146" s="7">
        <v>350</v>
      </c>
      <c r="N146" s="7">
        <v>533</v>
      </c>
      <c r="O146" s="8" t="s">
        <v>638</v>
      </c>
      <c r="P146" s="8" t="s">
        <v>639</v>
      </c>
      <c r="Q146" s="10" cm="1">
        <f t="array" ref="Q146">_xlfn.IFS([1]!DATA[[#This Row],[TYPE]]="Normal",[1]!DATA[[#This Row],[STORAGE DAYS]]*13,[1]!DATA[[#This Row],[TYPE]]="VIP",[1]!DATA[[#This Row],[STORAGE DAYS]]*20)</f>
        <v>1118</v>
      </c>
      <c r="R146" s="11" t="str">
        <f>IF(ISBLANK([1]!DATA[[#This Row],[COLDROOM RECEIPT]]),"IN CUSTODY","DISCHARGED")</f>
        <v>DISCHARGED</v>
      </c>
    </row>
    <row r="147" spans="1:18" ht="19.8">
      <c r="A147" s="1" t="s">
        <v>640</v>
      </c>
      <c r="B147" s="2" t="s">
        <v>641</v>
      </c>
      <c r="C147" s="2">
        <v>80</v>
      </c>
      <c r="D147" s="3" t="s">
        <v>16</v>
      </c>
      <c r="E147" s="3" t="s">
        <v>642</v>
      </c>
      <c r="F147" s="4">
        <v>543526579</v>
      </c>
      <c r="G147" s="3" t="s">
        <v>18</v>
      </c>
      <c r="H147" s="5">
        <v>0.5625</v>
      </c>
      <c r="I147" s="3" t="s">
        <v>145</v>
      </c>
      <c r="J147" s="6">
        <v>45808</v>
      </c>
      <c r="K147" s="6">
        <v>45961</v>
      </c>
      <c r="L147" s="2">
        <f>IF(ISBLANK([1]!DATA[[#This Row],[DISCHARGE DATE]]),"NO DISCHARGE DATE",[1]!DATA[[#This Row],[DISCHARGE DATE]]-[1]!DATA[[#This Row],[ADMISSION DATE]]+1)</f>
        <v>41</v>
      </c>
      <c r="M147" s="7">
        <v>350</v>
      </c>
      <c r="N147" s="7">
        <v>3080</v>
      </c>
      <c r="O147" s="8" t="s">
        <v>400</v>
      </c>
      <c r="P147" s="8" t="s">
        <v>643</v>
      </c>
      <c r="Q147" s="10" cm="1">
        <f t="array" ref="Q147">_xlfn.IFS([1]!DATA[[#This Row],[TYPE]]="Normal",[1]!DATA[[#This Row],[STORAGE DAYS]]*13,[1]!DATA[[#This Row],[TYPE]]="VIP",[1]!DATA[[#This Row],[STORAGE DAYS]]*20)</f>
        <v>533</v>
      </c>
      <c r="R147" s="11" t="str">
        <f>IF(ISBLANK([1]!DATA[[#This Row],[COLDROOM RECEIPT]]),"IN CUSTODY","DISCHARGED")</f>
        <v>DISCHARGED</v>
      </c>
    </row>
    <row r="148" spans="1:18" ht="19.8">
      <c r="A148" s="1" t="s">
        <v>644</v>
      </c>
      <c r="B148" s="2" t="s">
        <v>88</v>
      </c>
      <c r="C148" s="2">
        <v>70</v>
      </c>
      <c r="D148" s="3" t="s">
        <v>0</v>
      </c>
      <c r="E148" s="3" t="s">
        <v>645</v>
      </c>
      <c r="F148" s="4">
        <v>243586552</v>
      </c>
      <c r="G148" s="3" t="s">
        <v>1</v>
      </c>
      <c r="H148" s="5">
        <v>0.33333333333333331</v>
      </c>
      <c r="I148" s="3" t="s">
        <v>2</v>
      </c>
      <c r="J148" s="6">
        <v>45811</v>
      </c>
      <c r="K148" s="6">
        <v>45933</v>
      </c>
      <c r="L148" s="2">
        <f>IF(ISBLANK([1]!DATA[[#This Row],[DISCHARGE DATE]]),"NO DISCHARGE DATE",[1]!DATA[[#This Row],[DISCHARGE DATE]]-[1]!DATA[[#This Row],[ADMISSION DATE]]+1)</f>
        <v>154</v>
      </c>
      <c r="M148" s="7">
        <v>350</v>
      </c>
      <c r="N148" s="7">
        <v>1599</v>
      </c>
      <c r="O148" s="8" t="s">
        <v>489</v>
      </c>
      <c r="P148" s="8" t="s">
        <v>646</v>
      </c>
      <c r="Q148" s="10" cm="1">
        <f t="array" ref="Q148">_xlfn.IFS([1]!DATA[[#This Row],[TYPE]]="Normal",[1]!DATA[[#This Row],[STORAGE DAYS]]*13,[1]!DATA[[#This Row],[TYPE]]="VIP",[1]!DATA[[#This Row],[STORAGE DAYS]]*20)</f>
        <v>3080</v>
      </c>
      <c r="R148" s="11" t="str">
        <f>IF(ISBLANK([1]!DATA[[#This Row],[COLDROOM RECEIPT]]),"IN CUSTODY","DISCHARGED")</f>
        <v>DISCHARGED</v>
      </c>
    </row>
    <row r="149" spans="1:18" ht="19.8">
      <c r="A149" s="1" t="s">
        <v>647</v>
      </c>
      <c r="B149" s="2" t="s">
        <v>648</v>
      </c>
      <c r="C149" s="2">
        <v>100</v>
      </c>
      <c r="D149" s="3" t="s">
        <v>16</v>
      </c>
      <c r="E149" s="3" t="s">
        <v>649</v>
      </c>
      <c r="F149" s="4">
        <v>543683813</v>
      </c>
      <c r="G149" s="3" t="s">
        <v>1</v>
      </c>
      <c r="H149" s="5">
        <v>0.35416666666666669</v>
      </c>
      <c r="I149" s="3" t="s">
        <v>2</v>
      </c>
      <c r="J149" s="6">
        <v>45812</v>
      </c>
      <c r="K149" s="6">
        <v>45933</v>
      </c>
      <c r="L149" s="2">
        <f>IF(ISBLANK([1]!DATA[[#This Row],[DISCHARGE DATE]]),"NO DISCHARGE DATE",[1]!DATA[[#This Row],[DISCHARGE DATE]]-[1]!DATA[[#This Row],[ADMISSION DATE]]+1)</f>
        <v>123</v>
      </c>
      <c r="M149" s="7">
        <v>350</v>
      </c>
      <c r="N149" s="7">
        <v>1200</v>
      </c>
      <c r="O149" s="8" t="s">
        <v>395</v>
      </c>
      <c r="P149" s="8" t="s">
        <v>650</v>
      </c>
      <c r="Q149" s="10" cm="1">
        <f t="array" ref="Q149">_xlfn.IFS([1]!DATA[[#This Row],[TYPE]]="Normal",[1]!DATA[[#This Row],[STORAGE DAYS]]*13,[1]!DATA[[#This Row],[TYPE]]="VIP",[1]!DATA[[#This Row],[STORAGE DAYS]]*20)</f>
        <v>1599</v>
      </c>
      <c r="R149" s="11" t="str">
        <f>IF(ISBLANK([1]!DATA[[#This Row],[COLDROOM RECEIPT]]),"IN CUSTODY","DISCHARGED")</f>
        <v>DISCHARGED</v>
      </c>
    </row>
    <row r="150" spans="1:18" ht="19.8">
      <c r="A150" s="1" t="s">
        <v>651</v>
      </c>
      <c r="B150" s="2" t="s">
        <v>652</v>
      </c>
      <c r="C150" s="2">
        <v>69</v>
      </c>
      <c r="D150" s="3" t="s">
        <v>16</v>
      </c>
      <c r="E150" s="3" t="s">
        <v>50</v>
      </c>
      <c r="F150" s="4">
        <v>247422898</v>
      </c>
      <c r="G150" s="3" t="s">
        <v>1</v>
      </c>
      <c r="H150" s="5">
        <v>0.70833333333333337</v>
      </c>
      <c r="I150" s="3" t="s">
        <v>2</v>
      </c>
      <c r="J150" s="6">
        <v>45811</v>
      </c>
      <c r="K150" s="6">
        <v>46108</v>
      </c>
      <c r="L150" s="2">
        <f>IF(ISBLANK([1]!DATA[[#This Row],[DISCHARGE DATE]]),"NO DISCHARGE DATE",[1]!DATA[[#This Row],[DISCHARGE DATE]]-[1]!DATA[[#This Row],[ADMISSION DATE]]+1)</f>
        <v>122</v>
      </c>
      <c r="M150" s="7">
        <v>350</v>
      </c>
      <c r="N150" s="7">
        <v>1000</v>
      </c>
      <c r="O150" s="8" t="s">
        <v>546</v>
      </c>
      <c r="P150" s="8"/>
      <c r="Q150" s="10" cm="1">
        <f t="array" ref="Q150">_xlfn.IFS([1]!DATA[[#This Row],[TYPE]]="Normal",[1]!DATA[[#This Row],[STORAGE DAYS]]*13,[1]!DATA[[#This Row],[TYPE]]="VIP",[1]!DATA[[#This Row],[STORAGE DAYS]]*20)</f>
        <v>1586</v>
      </c>
      <c r="R150" s="11" t="str">
        <f>IF(ISBLANK([1]!DATA[[#This Row],[COLDROOM RECEIPT]]),"IN CUSTODY","DISCHARGED")</f>
        <v>DISCHARGED</v>
      </c>
    </row>
    <row r="151" spans="1:18" ht="19.8">
      <c r="A151" s="1" t="s">
        <v>653</v>
      </c>
      <c r="B151" s="2" t="s">
        <v>654</v>
      </c>
      <c r="C151" s="2">
        <v>58</v>
      </c>
      <c r="D151" s="3" t="s">
        <v>0</v>
      </c>
      <c r="E151" s="3" t="s">
        <v>655</v>
      </c>
      <c r="F151" s="4">
        <v>547163139</v>
      </c>
      <c r="G151" s="3" t="s">
        <v>539</v>
      </c>
      <c r="H151" s="5">
        <v>0.66666666666666663</v>
      </c>
      <c r="I151" s="3" t="s">
        <v>145</v>
      </c>
      <c r="J151" s="6">
        <v>45811</v>
      </c>
      <c r="K151" s="6">
        <v>45919</v>
      </c>
      <c r="L151" s="2">
        <f>IF(ISBLANK([1]!DATA[[#This Row],[DISCHARGE DATE]]),"NO DISCHARGE DATE",[1]!DATA[[#This Row],[DISCHARGE DATE]]-[1]!DATA[[#This Row],[ADMISSION DATE]]+1)</f>
        <v>298</v>
      </c>
      <c r="M151" s="7">
        <v>350</v>
      </c>
      <c r="N151" s="7">
        <v>2180</v>
      </c>
      <c r="O151" s="8" t="s">
        <v>90</v>
      </c>
      <c r="P151" s="8" t="s">
        <v>656</v>
      </c>
      <c r="Q151" s="10" cm="1">
        <f t="array" ref="Q151">_xlfn.IFS([1]!DATA[[#This Row],[TYPE]]="Normal",[1]!DATA[[#This Row],[STORAGE DAYS]]*13,[1]!DATA[[#This Row],[TYPE]]="VIP",[1]!DATA[[#This Row],[STORAGE DAYS]]*20)</f>
        <v>3874</v>
      </c>
      <c r="R151" s="11" t="str">
        <f>IF(ISBLANK([1]!DATA[[#This Row],[COLDROOM RECEIPT]]),"IN CUSTODY","DISCHARGED")</f>
        <v>IN CUSTODY</v>
      </c>
    </row>
    <row r="152" spans="1:18" ht="19.8">
      <c r="A152" s="1" t="s">
        <v>657</v>
      </c>
      <c r="B152" s="2" t="s">
        <v>658</v>
      </c>
      <c r="C152" s="2">
        <v>80</v>
      </c>
      <c r="D152" s="3" t="s">
        <v>0</v>
      </c>
      <c r="E152" s="3" t="s">
        <v>659</v>
      </c>
      <c r="F152" s="4">
        <v>244736149</v>
      </c>
      <c r="G152" s="3" t="s">
        <v>1</v>
      </c>
      <c r="H152" s="5">
        <v>0.55069444444444449</v>
      </c>
      <c r="I152" s="3" t="s">
        <v>145</v>
      </c>
      <c r="J152" s="6">
        <v>45813</v>
      </c>
      <c r="K152" s="6">
        <v>45989</v>
      </c>
      <c r="L152" s="2">
        <f>IF(ISBLANK([1]!DATA[[#This Row],[DISCHARGE DATE]]),"NO DISCHARGE DATE",[1]!DATA[[#This Row],[DISCHARGE DATE]]-[1]!DATA[[#This Row],[ADMISSION DATE]]+1)</f>
        <v>109</v>
      </c>
      <c r="M152" s="7">
        <v>350</v>
      </c>
      <c r="N152" s="7">
        <v>3340</v>
      </c>
      <c r="O152" s="8" t="s">
        <v>352</v>
      </c>
      <c r="P152" s="8" t="s">
        <v>660</v>
      </c>
      <c r="Q152" s="10" cm="1">
        <f t="array" ref="Q152">_xlfn.IFS([1]!DATA[[#This Row],[TYPE]]="Normal",[1]!DATA[[#This Row],[STORAGE DAYS]]*13,[1]!DATA[[#This Row],[TYPE]]="VIP",[1]!DATA[[#This Row],[STORAGE DAYS]]*20)</f>
        <v>2180</v>
      </c>
      <c r="R152" s="11" t="str">
        <f>IF(ISBLANK([1]!DATA[[#This Row],[COLDROOM RECEIPT]]),"IN CUSTODY","DISCHARGED")</f>
        <v>DISCHARGED</v>
      </c>
    </row>
    <row r="153" spans="1:18" ht="19.8">
      <c r="A153" s="1" t="s">
        <v>661</v>
      </c>
      <c r="B153" s="2" t="s">
        <v>662</v>
      </c>
      <c r="C153" s="2">
        <v>90</v>
      </c>
      <c r="D153" s="3" t="s">
        <v>0</v>
      </c>
      <c r="E153" s="3" t="s">
        <v>663</v>
      </c>
      <c r="F153" s="4">
        <v>242115652</v>
      </c>
      <c r="G153" s="3" t="s">
        <v>1</v>
      </c>
      <c r="H153" s="5">
        <v>0.4375</v>
      </c>
      <c r="I153" s="3" t="s">
        <v>2</v>
      </c>
      <c r="J153" s="6">
        <v>45814</v>
      </c>
      <c r="K153" s="6">
        <v>45933</v>
      </c>
      <c r="L153" s="2">
        <f>IF(ISBLANK([1]!DATA[[#This Row],[DISCHARGE DATE]]),"NO DISCHARGE DATE",[1]!DATA[[#This Row],[DISCHARGE DATE]]-[1]!DATA[[#This Row],[ADMISSION DATE]]+1)</f>
        <v>177</v>
      </c>
      <c r="M153" s="7">
        <v>350</v>
      </c>
      <c r="N153" s="7">
        <v>1560</v>
      </c>
      <c r="O153" s="8" t="s">
        <v>293</v>
      </c>
      <c r="P153" s="8" t="s">
        <v>664</v>
      </c>
      <c r="Q153" s="10" cm="1">
        <f t="array" ref="Q153">_xlfn.IFS([1]!DATA[[#This Row],[TYPE]]="Normal",[1]!DATA[[#This Row],[STORAGE DAYS]]*13,[1]!DATA[[#This Row],[TYPE]]="VIP",[1]!DATA[[#This Row],[STORAGE DAYS]]*20)</f>
        <v>3540</v>
      </c>
      <c r="R153" s="11" t="str">
        <f>IF(ISBLANK([1]!DATA[[#This Row],[COLDROOM RECEIPT]]),"IN CUSTODY","DISCHARGED")</f>
        <v>DISCHARGED</v>
      </c>
    </row>
    <row r="154" spans="1:18" ht="19.8">
      <c r="A154" s="1" t="s">
        <v>665</v>
      </c>
      <c r="B154" s="2" t="s">
        <v>666</v>
      </c>
      <c r="C154" s="2">
        <v>80</v>
      </c>
      <c r="D154" s="3" t="s">
        <v>0</v>
      </c>
      <c r="E154" s="3" t="s">
        <v>667</v>
      </c>
      <c r="F154" s="4">
        <v>548459710</v>
      </c>
      <c r="G154" s="3" t="s">
        <v>1</v>
      </c>
      <c r="H154" s="5">
        <v>0.29166666666666669</v>
      </c>
      <c r="I154" s="3" t="s">
        <v>2</v>
      </c>
      <c r="J154" s="6">
        <v>45815</v>
      </c>
      <c r="K154" s="6">
        <v>45959</v>
      </c>
      <c r="L154" s="2">
        <f>IF(ISBLANK([1]!DATA[[#This Row],[DISCHARGE DATE]]),"NO DISCHARGE DATE",[1]!DATA[[#This Row],[DISCHARGE DATE]]-[1]!DATA[[#This Row],[ADMISSION DATE]]+1)</f>
        <v>120</v>
      </c>
      <c r="M154" s="7">
        <v>350</v>
      </c>
      <c r="N154" s="7">
        <v>1885</v>
      </c>
      <c r="O154" s="8" t="s">
        <v>509</v>
      </c>
      <c r="P154" s="8" t="s">
        <v>668</v>
      </c>
      <c r="Q154" s="10" cm="1">
        <f t="array" ref="Q154">_xlfn.IFS([1]!DATA[[#This Row],[TYPE]]="Normal",[1]!DATA[[#This Row],[STORAGE DAYS]]*13,[1]!DATA[[#This Row],[TYPE]]="VIP",[1]!DATA[[#This Row],[STORAGE DAYS]]*20)</f>
        <v>1560</v>
      </c>
      <c r="R154" s="11" t="str">
        <f>IF(ISBLANK([1]!DATA[[#This Row],[COLDROOM RECEIPT]]),"IN CUSTODY","DISCHARGED")</f>
        <v>DISCHARGED</v>
      </c>
    </row>
    <row r="155" spans="1:18" ht="19.8">
      <c r="A155" s="1" t="s">
        <v>669</v>
      </c>
      <c r="B155" s="2" t="s">
        <v>670</v>
      </c>
      <c r="C155" s="2">
        <v>41</v>
      </c>
      <c r="D155" s="3" t="s">
        <v>16</v>
      </c>
      <c r="E155" s="3" t="s">
        <v>671</v>
      </c>
      <c r="F155" s="4">
        <v>244256288</v>
      </c>
      <c r="G155" s="3" t="s">
        <v>18</v>
      </c>
      <c r="H155" s="5">
        <v>0.72916666666666663</v>
      </c>
      <c r="I155" s="3" t="s">
        <v>2</v>
      </c>
      <c r="J155" s="6">
        <v>45817</v>
      </c>
      <c r="K155" s="6">
        <v>45898</v>
      </c>
      <c r="L155" s="2">
        <f>IF(ISBLANK([1]!DATA[[#This Row],[DISCHARGE DATE]]),"NO DISCHARGE DATE",[1]!DATA[[#This Row],[DISCHARGE DATE]]-[1]!DATA[[#This Row],[ADMISSION DATE]]+1)</f>
        <v>145</v>
      </c>
      <c r="M155" s="7">
        <v>350</v>
      </c>
      <c r="N155" s="7">
        <v>1066</v>
      </c>
      <c r="O155" s="8" t="s">
        <v>672</v>
      </c>
      <c r="P155" s="8" t="s">
        <v>673</v>
      </c>
      <c r="Q155" s="10" cm="1">
        <f t="array" ref="Q155">_xlfn.IFS([1]!DATA[[#This Row],[TYPE]]="Normal",[1]!DATA[[#This Row],[STORAGE DAYS]]*13,[1]!DATA[[#This Row],[TYPE]]="VIP",[1]!DATA[[#This Row],[STORAGE DAYS]]*20)</f>
        <v>1885</v>
      </c>
      <c r="R155" s="11" t="str">
        <f>IF(ISBLANK([1]!DATA[[#This Row],[COLDROOM RECEIPT]]),"IN CUSTODY","DISCHARGED")</f>
        <v>DISCHARGED</v>
      </c>
    </row>
    <row r="156" spans="1:18" ht="19.8">
      <c r="A156" s="1" t="s">
        <v>674</v>
      </c>
      <c r="B156" s="2" t="s">
        <v>675</v>
      </c>
      <c r="C156" s="2">
        <v>70</v>
      </c>
      <c r="D156" s="3" t="s">
        <v>0</v>
      </c>
      <c r="E156" s="3" t="s">
        <v>676</v>
      </c>
      <c r="F156" s="4">
        <v>245765663</v>
      </c>
      <c r="G156" s="3" t="s">
        <v>64</v>
      </c>
      <c r="H156" s="5">
        <v>45818</v>
      </c>
      <c r="I156" s="3" t="s">
        <v>2</v>
      </c>
      <c r="J156" s="6">
        <v>45818</v>
      </c>
      <c r="K156" s="6">
        <v>45954</v>
      </c>
      <c r="L156" s="2">
        <f>IF(ISBLANK([1]!DATA[[#This Row],[DISCHARGE DATE]]),"NO DISCHARGE DATE",[1]!DATA[[#This Row],[DISCHARGE DATE]]-[1]!DATA[[#This Row],[ADMISSION DATE]]+1)</f>
        <v>82</v>
      </c>
      <c r="M156" s="7">
        <v>350</v>
      </c>
      <c r="N156" s="7">
        <v>1781</v>
      </c>
      <c r="O156" s="8" t="s">
        <v>677</v>
      </c>
      <c r="P156" s="8" t="s">
        <v>678</v>
      </c>
      <c r="Q156" s="10" cm="1">
        <f t="array" ref="Q156">_xlfn.IFS([1]!DATA[[#This Row],[TYPE]]="Normal",[1]!DATA[[#This Row],[STORAGE DAYS]]*13,[1]!DATA[[#This Row],[TYPE]]="VIP",[1]!DATA[[#This Row],[STORAGE DAYS]]*20)</f>
        <v>1066</v>
      </c>
      <c r="R156" s="11" t="str">
        <f>IF(ISBLANK([1]!DATA[[#This Row],[COLDROOM RECEIPT]]),"IN CUSTODY","DISCHARGED")</f>
        <v>DISCHARGED</v>
      </c>
    </row>
    <row r="157" spans="1:18" ht="19.8">
      <c r="A157" s="1" t="s">
        <v>679</v>
      </c>
      <c r="B157" s="2" t="s">
        <v>680</v>
      </c>
      <c r="C157" s="2">
        <v>90</v>
      </c>
      <c r="D157" s="3" t="s">
        <v>0</v>
      </c>
      <c r="E157" s="3" t="s">
        <v>681</v>
      </c>
      <c r="F157" s="4">
        <v>240937182</v>
      </c>
      <c r="G157" s="3" t="s">
        <v>1</v>
      </c>
      <c r="H157" s="5">
        <v>0.53125</v>
      </c>
      <c r="I157" s="3" t="s">
        <v>2</v>
      </c>
      <c r="J157" s="6">
        <v>45818</v>
      </c>
      <c r="K157" s="6">
        <v>45898</v>
      </c>
      <c r="L157" s="2">
        <f>IF(ISBLANK([1]!DATA[[#This Row],[DISCHARGE DATE]]),"NO DISCHARGE DATE",[1]!DATA[[#This Row],[DISCHARGE DATE]]-[1]!DATA[[#This Row],[ADMISSION DATE]]+1)</f>
        <v>137</v>
      </c>
      <c r="M157" s="7">
        <v>350</v>
      </c>
      <c r="N157" s="7">
        <v>1053</v>
      </c>
      <c r="O157" s="8" t="s">
        <v>504</v>
      </c>
      <c r="P157" s="8" t="s">
        <v>682</v>
      </c>
      <c r="Q157" s="10" cm="1">
        <f t="array" ref="Q157">_xlfn.IFS([1]!DATA[[#This Row],[TYPE]]="Normal",[1]!DATA[[#This Row],[STORAGE DAYS]]*13,[1]!DATA[[#This Row],[TYPE]]="VIP",[1]!DATA[[#This Row],[STORAGE DAYS]]*20)</f>
        <v>1781</v>
      </c>
      <c r="R157" s="11" t="str">
        <f>IF(ISBLANK([1]!DATA[[#This Row],[COLDROOM RECEIPT]]),"IN CUSTODY","DISCHARGED")</f>
        <v>DISCHARGED</v>
      </c>
    </row>
    <row r="158" spans="1:18" ht="19.8">
      <c r="A158" s="1" t="s">
        <v>683</v>
      </c>
      <c r="B158" s="2" t="s">
        <v>684</v>
      </c>
      <c r="C158" s="2">
        <v>55</v>
      </c>
      <c r="D158" s="3" t="s">
        <v>16</v>
      </c>
      <c r="E158" s="3" t="s">
        <v>685</v>
      </c>
      <c r="F158" s="4">
        <v>248113292</v>
      </c>
      <c r="G158" s="3" t="s">
        <v>1</v>
      </c>
      <c r="H158" s="5">
        <v>0.80208333333333337</v>
      </c>
      <c r="I158" s="3" t="s">
        <v>2</v>
      </c>
      <c r="J158" s="6">
        <v>45820</v>
      </c>
      <c r="K158" s="6">
        <v>45961</v>
      </c>
      <c r="L158" s="2">
        <f>IF(ISBLANK([1]!DATA[[#This Row],[DISCHARGE DATE]]),"NO DISCHARGE DATE",[1]!DATA[[#This Row],[DISCHARGE DATE]]-[1]!DATA[[#This Row],[ADMISSION DATE]]+1)</f>
        <v>81</v>
      </c>
      <c r="M158" s="7">
        <v>350</v>
      </c>
      <c r="N158" s="7">
        <v>1846</v>
      </c>
      <c r="O158" s="8" t="s">
        <v>445</v>
      </c>
      <c r="P158" s="8" t="s">
        <v>686</v>
      </c>
      <c r="Q158" s="10" cm="1">
        <f t="array" ref="Q158">_xlfn.IFS([1]!DATA[[#This Row],[TYPE]]="Normal",[1]!DATA[[#This Row],[STORAGE DAYS]]*13,[1]!DATA[[#This Row],[TYPE]]="VIP",[1]!DATA[[#This Row],[STORAGE DAYS]]*20)</f>
        <v>1053</v>
      </c>
      <c r="R158" s="11" t="str">
        <f>IF(ISBLANK([1]!DATA[[#This Row],[COLDROOM RECEIPT]]),"IN CUSTODY","DISCHARGED")</f>
        <v>DISCHARGED</v>
      </c>
    </row>
    <row r="159" spans="1:18" ht="19.8">
      <c r="A159" s="1" t="s">
        <v>687</v>
      </c>
      <c r="B159" s="2" t="s">
        <v>688</v>
      </c>
      <c r="C159" s="2">
        <v>87</v>
      </c>
      <c r="D159" s="3" t="s">
        <v>16</v>
      </c>
      <c r="E159" s="3" t="s">
        <v>458</v>
      </c>
      <c r="F159" s="4">
        <v>242122292</v>
      </c>
      <c r="G159" s="3" t="s">
        <v>1</v>
      </c>
      <c r="H159" s="5">
        <v>0.56944444444444442</v>
      </c>
      <c r="I159" s="3" t="s">
        <v>2</v>
      </c>
      <c r="J159" s="6">
        <v>45822</v>
      </c>
      <c r="K159" s="6"/>
      <c r="L159" s="2">
        <f>IF(ISBLANK([1]!DATA[[#This Row],[DISCHARGE DATE]]),"NO DISCHARGE DATE",[1]!DATA[[#This Row],[DISCHARGE DATE]]-[1]!DATA[[#This Row],[ADMISSION DATE]]+1)</f>
        <v>142</v>
      </c>
      <c r="M159" s="7">
        <v>350</v>
      </c>
      <c r="N159" s="7"/>
      <c r="O159" s="8" t="s">
        <v>689</v>
      </c>
      <c r="P159" s="8"/>
      <c r="Q159" s="10" cm="1">
        <f t="array" ref="Q159">_xlfn.IFS([1]!DATA[[#This Row],[TYPE]]="Normal",[1]!DATA[[#This Row],[STORAGE DAYS]]*13,[1]!DATA[[#This Row],[TYPE]]="VIP",[1]!DATA[[#This Row],[STORAGE DAYS]]*20)</f>
        <v>1846</v>
      </c>
      <c r="R159" s="11" t="str">
        <f>IF(ISBLANK([1]!DATA[[#This Row],[COLDROOM RECEIPT]]),"IN CUSTODY","DISCHARGED")</f>
        <v>DISCHARGED</v>
      </c>
    </row>
    <row r="160" spans="1:18" ht="19.8">
      <c r="A160" s="1" t="s">
        <v>690</v>
      </c>
      <c r="B160" s="2" t="s">
        <v>691</v>
      </c>
      <c r="C160" s="2">
        <v>50</v>
      </c>
      <c r="D160" s="3" t="s">
        <v>16</v>
      </c>
      <c r="E160" s="3" t="s">
        <v>692</v>
      </c>
      <c r="F160" s="4">
        <v>248632476</v>
      </c>
      <c r="G160" s="3" t="s">
        <v>1</v>
      </c>
      <c r="H160" s="5">
        <v>0.45833333333333331</v>
      </c>
      <c r="I160" s="3" t="s">
        <v>145</v>
      </c>
      <c r="J160" s="6">
        <v>45824</v>
      </c>
      <c r="K160" s="6">
        <v>45898</v>
      </c>
      <c r="L160" s="2" t="str">
        <f>IF(ISBLANK([1]!DATA[[#This Row],[DISCHARGE DATE]]),"NO DISCHARGE DATE",[1]!DATA[[#This Row],[DISCHARGE DATE]]-[1]!DATA[[#This Row],[ADMISSION DATE]]+1)</f>
        <v>NO DISCHARGE DATE</v>
      </c>
      <c r="M160" s="7">
        <v>350</v>
      </c>
      <c r="N160" s="7">
        <v>1500</v>
      </c>
      <c r="O160" s="8" t="s">
        <v>469</v>
      </c>
      <c r="P160" s="8" t="s">
        <v>693</v>
      </c>
      <c r="Q160" s="10" t="e" cm="1">
        <f t="array" ref="Q160">_xlfn.IFS([1]!DATA[[#This Row],[TYPE]]="Normal",[1]!DATA[[#This Row],[STORAGE DAYS]]*13,[1]!DATA[[#This Row],[TYPE]]="VIP",[1]!DATA[[#This Row],[STORAGE DAYS]]*20)</f>
        <v>#VALUE!</v>
      </c>
      <c r="R160" s="11" t="str">
        <f>IF(ISBLANK([1]!DATA[[#This Row],[COLDROOM RECEIPT]]),"IN CUSTODY","DISCHARGED")</f>
        <v>IN CUSTODY</v>
      </c>
    </row>
    <row r="161" spans="1:18" ht="19.8">
      <c r="A161" s="1" t="s">
        <v>694</v>
      </c>
      <c r="B161" s="2" t="s">
        <v>695</v>
      </c>
      <c r="C161" s="2">
        <v>74</v>
      </c>
      <c r="D161" s="3" t="s">
        <v>0</v>
      </c>
      <c r="E161" s="3" t="s">
        <v>696</v>
      </c>
      <c r="F161" s="4">
        <v>257082636</v>
      </c>
      <c r="G161" s="3" t="s">
        <v>11</v>
      </c>
      <c r="H161" s="5">
        <v>0.35416666666666669</v>
      </c>
      <c r="I161" s="3" t="s">
        <v>2</v>
      </c>
      <c r="J161" s="6">
        <v>45827</v>
      </c>
      <c r="K161" s="6">
        <v>45864</v>
      </c>
      <c r="L161" s="2">
        <f>IF(ISBLANK([1]!DATA[[#This Row],[DISCHARGE DATE]]),"NO DISCHARGE DATE",[1]!DATA[[#This Row],[DISCHARGE DATE]]-[1]!DATA[[#This Row],[ADMISSION DATE]]+1)</f>
        <v>75</v>
      </c>
      <c r="M161" s="7">
        <v>350</v>
      </c>
      <c r="N161" s="7">
        <v>494</v>
      </c>
      <c r="O161" s="8" t="s">
        <v>573</v>
      </c>
      <c r="P161" s="8" t="s">
        <v>697</v>
      </c>
      <c r="Q161" s="10" cm="1">
        <f t="array" ref="Q161">_xlfn.IFS([1]!DATA[[#This Row],[TYPE]]="Normal",[1]!DATA[[#This Row],[STORAGE DAYS]]*13,[1]!DATA[[#This Row],[TYPE]]="VIP",[1]!DATA[[#This Row],[STORAGE DAYS]]*20)</f>
        <v>1500</v>
      </c>
      <c r="R161" s="11" t="str">
        <f>IF(ISBLANK([1]!DATA[[#This Row],[COLDROOM RECEIPT]]),"IN CUSTODY","DISCHARGED")</f>
        <v>DISCHARGED</v>
      </c>
    </row>
    <row r="162" spans="1:18" ht="19.8">
      <c r="A162" s="1" t="s">
        <v>698</v>
      </c>
      <c r="B162" s="2" t="s">
        <v>699</v>
      </c>
      <c r="C162" s="2">
        <v>60</v>
      </c>
      <c r="D162" s="3" t="s">
        <v>16</v>
      </c>
      <c r="E162" s="3" t="s">
        <v>700</v>
      </c>
      <c r="F162" s="4">
        <v>248145638</v>
      </c>
      <c r="G162" s="3" t="s">
        <v>1</v>
      </c>
      <c r="H162" s="5">
        <v>0.4375</v>
      </c>
      <c r="I162" s="3" t="s">
        <v>2</v>
      </c>
      <c r="J162" s="6">
        <v>45827</v>
      </c>
      <c r="K162" s="6">
        <v>45933</v>
      </c>
      <c r="L162" s="2">
        <f>IF(ISBLANK([1]!DATA[[#This Row],[DISCHARGE DATE]]),"NO DISCHARGE DATE",[1]!DATA[[#This Row],[DISCHARGE DATE]]-[1]!DATA[[#This Row],[ADMISSION DATE]]+1)</f>
        <v>38</v>
      </c>
      <c r="M162" s="7">
        <v>350</v>
      </c>
      <c r="N162" s="7">
        <v>1391</v>
      </c>
      <c r="O162" s="8" t="s">
        <v>639</v>
      </c>
      <c r="P162" s="8" t="s">
        <v>701</v>
      </c>
      <c r="Q162" s="10" cm="1">
        <f t="array" ref="Q162">_xlfn.IFS([1]!DATA[[#This Row],[TYPE]]="Normal",[1]!DATA[[#This Row],[STORAGE DAYS]]*13,[1]!DATA[[#This Row],[TYPE]]="VIP",[1]!DATA[[#This Row],[STORAGE DAYS]]*20)</f>
        <v>494</v>
      </c>
      <c r="R162" s="11" t="str">
        <f>IF(ISBLANK([1]!DATA[[#This Row],[COLDROOM RECEIPT]]),"IN CUSTODY","DISCHARGED")</f>
        <v>DISCHARGED</v>
      </c>
    </row>
    <row r="163" spans="1:18" ht="19.8">
      <c r="A163" s="1" t="s">
        <v>702</v>
      </c>
      <c r="B163" s="2" t="s">
        <v>703</v>
      </c>
      <c r="C163" s="2">
        <v>55</v>
      </c>
      <c r="D163" s="3" t="s">
        <v>0</v>
      </c>
      <c r="E163" s="3" t="s">
        <v>704</v>
      </c>
      <c r="F163" s="4">
        <v>594386555</v>
      </c>
      <c r="G163" s="3" t="s">
        <v>1</v>
      </c>
      <c r="H163" s="5">
        <v>0.52777777777777779</v>
      </c>
      <c r="I163" s="3" t="s">
        <v>2</v>
      </c>
      <c r="J163" s="6">
        <v>45827</v>
      </c>
      <c r="K163" s="6">
        <v>45832</v>
      </c>
      <c r="L163" s="2">
        <f>IF(ISBLANK([1]!DATA[[#This Row],[DISCHARGE DATE]]),"NO DISCHARGE DATE",[1]!DATA[[#This Row],[DISCHARGE DATE]]-[1]!DATA[[#This Row],[ADMISSION DATE]]+1)</f>
        <v>107</v>
      </c>
      <c r="M163" s="7">
        <v>350</v>
      </c>
      <c r="N163" s="7">
        <v>78</v>
      </c>
      <c r="O163" s="8" t="s">
        <v>619</v>
      </c>
      <c r="P163" s="8" t="s">
        <v>677</v>
      </c>
      <c r="Q163" s="10" cm="1">
        <f t="array" ref="Q163">_xlfn.IFS([1]!DATA[[#This Row],[TYPE]]="Normal",[1]!DATA[[#This Row],[STORAGE DAYS]]*13,[1]!DATA[[#This Row],[TYPE]]="VIP",[1]!DATA[[#This Row],[STORAGE DAYS]]*20)</f>
        <v>1391</v>
      </c>
      <c r="R163" s="11" t="str">
        <f>IF(ISBLANK([1]!DATA[[#This Row],[COLDROOM RECEIPT]]),"IN CUSTODY","DISCHARGED")</f>
        <v>DISCHARGED</v>
      </c>
    </row>
    <row r="164" spans="1:18" ht="19.8">
      <c r="A164" s="1" t="s">
        <v>705</v>
      </c>
      <c r="B164" s="2" t="s">
        <v>706</v>
      </c>
      <c r="C164" s="2">
        <v>42</v>
      </c>
      <c r="D164" s="3" t="s">
        <v>16</v>
      </c>
      <c r="E164" s="3" t="s">
        <v>707</v>
      </c>
      <c r="F164" s="4">
        <v>508406180</v>
      </c>
      <c r="G164" s="3" t="s">
        <v>18</v>
      </c>
      <c r="H164" s="5">
        <v>0.60416666666666663</v>
      </c>
      <c r="I164" s="3" t="s">
        <v>2</v>
      </c>
      <c r="J164" s="6">
        <v>45827</v>
      </c>
      <c r="K164" s="6">
        <v>45842</v>
      </c>
      <c r="L164" s="2">
        <f>IF(ISBLANK([1]!DATA[[#This Row],[DISCHARGE DATE]]),"NO DISCHARGE DATE",[1]!DATA[[#This Row],[DISCHARGE DATE]]-[1]!DATA[[#This Row],[ADMISSION DATE]]+1)</f>
        <v>6</v>
      </c>
      <c r="M164" s="7">
        <v>350</v>
      </c>
      <c r="N164" s="7">
        <v>208</v>
      </c>
      <c r="O164" s="8" t="s">
        <v>440</v>
      </c>
      <c r="P164" s="8" t="s">
        <v>708</v>
      </c>
      <c r="Q164" s="10" cm="1">
        <f t="array" ref="Q164">_xlfn.IFS([1]!DATA[[#This Row],[TYPE]]="Normal",[1]!DATA[[#This Row],[STORAGE DAYS]]*13,[1]!DATA[[#This Row],[TYPE]]="VIP",[1]!DATA[[#This Row],[STORAGE DAYS]]*20)</f>
        <v>78</v>
      </c>
      <c r="R164" s="11" t="str">
        <f>IF(ISBLANK([1]!DATA[[#This Row],[COLDROOM RECEIPT]]),"IN CUSTODY","DISCHARGED")</f>
        <v>DISCHARGED</v>
      </c>
    </row>
    <row r="165" spans="1:18" ht="19.8">
      <c r="A165" s="1" t="s">
        <v>709</v>
      </c>
      <c r="B165" s="2" t="s">
        <v>710</v>
      </c>
      <c r="C165" s="2">
        <v>72</v>
      </c>
      <c r="D165" s="3" t="s">
        <v>16</v>
      </c>
      <c r="E165" s="3" t="s">
        <v>711</v>
      </c>
      <c r="F165" s="4">
        <v>242364213</v>
      </c>
      <c r="G165" s="3" t="s">
        <v>712</v>
      </c>
      <c r="H165" s="5">
        <v>0.54166666666666663</v>
      </c>
      <c r="I165" s="3" t="s">
        <v>2</v>
      </c>
      <c r="J165" s="6">
        <v>45830</v>
      </c>
      <c r="K165" s="6">
        <v>45961</v>
      </c>
      <c r="L165" s="2">
        <f>IF(ISBLANK([1]!DATA[[#This Row],[DISCHARGE DATE]]),"NO DISCHARGE DATE",[1]!DATA[[#This Row],[DISCHARGE DATE]]-[1]!DATA[[#This Row],[ADMISSION DATE]]+1)</f>
        <v>16</v>
      </c>
      <c r="M165" s="7">
        <v>350</v>
      </c>
      <c r="N165" s="7">
        <v>1612</v>
      </c>
      <c r="O165" s="8" t="s">
        <v>346</v>
      </c>
      <c r="P165" s="8" t="s">
        <v>713</v>
      </c>
      <c r="Q165" s="10" cm="1">
        <f t="array" ref="Q165">_xlfn.IFS([1]!DATA[[#This Row],[TYPE]]="Normal",[1]!DATA[[#This Row],[STORAGE DAYS]]*13,[1]!DATA[[#This Row],[TYPE]]="VIP",[1]!DATA[[#This Row],[STORAGE DAYS]]*20)</f>
        <v>208</v>
      </c>
      <c r="R165" s="11" t="str">
        <f>IF(ISBLANK([1]!DATA[[#This Row],[COLDROOM RECEIPT]]),"IN CUSTODY","DISCHARGED")</f>
        <v>DISCHARGED</v>
      </c>
    </row>
    <row r="166" spans="1:18" ht="19.8">
      <c r="A166" s="1" t="s">
        <v>714</v>
      </c>
      <c r="B166" s="2" t="s">
        <v>715</v>
      </c>
      <c r="C166" s="2">
        <v>58</v>
      </c>
      <c r="D166" s="3" t="s">
        <v>16</v>
      </c>
      <c r="E166" s="3" t="s">
        <v>716</v>
      </c>
      <c r="F166" s="4"/>
      <c r="G166" s="3" t="s">
        <v>1</v>
      </c>
      <c r="H166" s="5">
        <v>0.72916666666666663</v>
      </c>
      <c r="I166" s="3" t="s">
        <v>145</v>
      </c>
      <c r="J166" s="6">
        <v>45832</v>
      </c>
      <c r="K166" s="6">
        <v>45933</v>
      </c>
      <c r="L166" s="2">
        <f>IF(ISBLANK([1]!DATA[[#This Row],[DISCHARGE DATE]]),"NO DISCHARGE DATE",[1]!DATA[[#This Row],[DISCHARGE DATE]]-[1]!DATA[[#This Row],[ADMISSION DATE]]+1)</f>
        <v>132</v>
      </c>
      <c r="M166" s="7">
        <v>350</v>
      </c>
      <c r="N166" s="7">
        <v>2040</v>
      </c>
      <c r="O166" s="8" t="s">
        <v>460</v>
      </c>
      <c r="P166" s="8" t="s">
        <v>717</v>
      </c>
      <c r="Q166" s="10" cm="1">
        <f t="array" ref="Q166">_xlfn.IFS([1]!DATA[[#This Row],[TYPE]]="Normal",[1]!DATA[[#This Row],[STORAGE DAYS]]*13,[1]!DATA[[#This Row],[TYPE]]="VIP",[1]!DATA[[#This Row],[STORAGE DAYS]]*20)</f>
        <v>1716</v>
      </c>
      <c r="R166" s="11" t="str">
        <f>IF(ISBLANK([1]!DATA[[#This Row],[COLDROOM RECEIPT]]),"IN CUSTODY","DISCHARGED")</f>
        <v>DISCHARGED</v>
      </c>
    </row>
    <row r="167" spans="1:18" ht="19.8">
      <c r="A167" s="1" t="s">
        <v>718</v>
      </c>
      <c r="B167" s="2" t="s">
        <v>719</v>
      </c>
      <c r="C167" s="2">
        <v>97</v>
      </c>
      <c r="D167" s="3" t="s">
        <v>16</v>
      </c>
      <c r="E167" s="3" t="s">
        <v>720</v>
      </c>
      <c r="F167" s="4"/>
      <c r="G167" s="3" t="s">
        <v>1</v>
      </c>
      <c r="H167" s="5">
        <v>0.47916666666666669</v>
      </c>
      <c r="I167" s="3" t="s">
        <v>2</v>
      </c>
      <c r="J167" s="6">
        <v>45833</v>
      </c>
      <c r="K167" s="6">
        <v>45961</v>
      </c>
      <c r="L167" s="2">
        <f>IF(ISBLANK([1]!DATA[[#This Row],[DISCHARGE DATE]]),"NO DISCHARGE DATE",[1]!DATA[[#This Row],[DISCHARGE DATE]]-[1]!DATA[[#This Row],[ADMISSION DATE]]+1)</f>
        <v>102</v>
      </c>
      <c r="M167" s="7">
        <v>350</v>
      </c>
      <c r="N167" s="7">
        <v>1677</v>
      </c>
      <c r="O167" s="8" t="s">
        <v>285</v>
      </c>
      <c r="P167" s="8" t="s">
        <v>721</v>
      </c>
      <c r="Q167" s="10" cm="1">
        <f t="array" ref="Q167">_xlfn.IFS([1]!DATA[[#This Row],[TYPE]]="Normal",[1]!DATA[[#This Row],[STORAGE DAYS]]*13,[1]!DATA[[#This Row],[TYPE]]="VIP",[1]!DATA[[#This Row],[STORAGE DAYS]]*20)</f>
        <v>2040</v>
      </c>
      <c r="R167" s="11" t="str">
        <f>IF(ISBLANK([1]!DATA[[#This Row],[COLDROOM RECEIPT]]),"IN CUSTODY","DISCHARGED")</f>
        <v>DISCHARGED</v>
      </c>
    </row>
    <row r="168" spans="1:18" ht="19.8">
      <c r="A168" s="1" t="s">
        <v>722</v>
      </c>
      <c r="B168" s="2" t="s">
        <v>723</v>
      </c>
      <c r="C168" s="2">
        <v>82</v>
      </c>
      <c r="D168" s="3" t="s">
        <v>0</v>
      </c>
      <c r="E168" s="3" t="s">
        <v>724</v>
      </c>
      <c r="F168" s="4">
        <v>546675537</v>
      </c>
      <c r="G168" s="3" t="s">
        <v>11</v>
      </c>
      <c r="H168" s="5">
        <v>0.79166666666666663</v>
      </c>
      <c r="I168" s="3" t="s">
        <v>2</v>
      </c>
      <c r="J168" s="6">
        <v>45833</v>
      </c>
      <c r="K168" s="6">
        <v>45960</v>
      </c>
      <c r="L168" s="2">
        <f>IF(ISBLANK([1]!DATA[[#This Row],[DISCHARGE DATE]]),"NO DISCHARGE DATE",[1]!DATA[[#This Row],[DISCHARGE DATE]]-[1]!DATA[[#This Row],[ADMISSION DATE]]+1)</f>
        <v>129</v>
      </c>
      <c r="M168" s="7">
        <v>350</v>
      </c>
      <c r="N168" s="7">
        <v>1664</v>
      </c>
      <c r="O168" s="8" t="s">
        <v>368</v>
      </c>
      <c r="P168" s="8" t="s">
        <v>725</v>
      </c>
      <c r="Q168" s="10" cm="1">
        <f t="array" ref="Q168">_xlfn.IFS([1]!DATA[[#This Row],[TYPE]]="Normal",[1]!DATA[[#This Row],[STORAGE DAYS]]*13,[1]!DATA[[#This Row],[TYPE]]="VIP",[1]!DATA[[#This Row],[STORAGE DAYS]]*20)</f>
        <v>1677</v>
      </c>
      <c r="R168" s="11" t="str">
        <f>IF(ISBLANK([1]!DATA[[#This Row],[COLDROOM RECEIPT]]),"IN CUSTODY","DISCHARGED")</f>
        <v>DISCHARGED</v>
      </c>
    </row>
    <row r="169" spans="1:18" ht="19.8">
      <c r="A169" s="1" t="s">
        <v>726</v>
      </c>
      <c r="B169" s="2" t="s">
        <v>727</v>
      </c>
      <c r="C169" s="2">
        <v>50</v>
      </c>
      <c r="D169" s="3" t="s">
        <v>0</v>
      </c>
      <c r="E169" s="3" t="s">
        <v>728</v>
      </c>
      <c r="F169" s="4">
        <v>550255518</v>
      </c>
      <c r="G169" s="3" t="s">
        <v>18</v>
      </c>
      <c r="H169" s="5">
        <v>0.66666666666666663</v>
      </c>
      <c r="I169" s="3" t="s">
        <v>2</v>
      </c>
      <c r="J169" s="6">
        <v>45837</v>
      </c>
      <c r="K169" s="6">
        <v>45933</v>
      </c>
      <c r="L169" s="2">
        <f>IF(ISBLANK([1]!DATA[[#This Row],[DISCHARGE DATE]]),"NO DISCHARGE DATE",[1]!DATA[[#This Row],[DISCHARGE DATE]]-[1]!DATA[[#This Row],[ADMISSION DATE]]+1)</f>
        <v>128</v>
      </c>
      <c r="M169" s="7">
        <v>350</v>
      </c>
      <c r="N169" s="7">
        <v>1261</v>
      </c>
      <c r="O169" s="8" t="s">
        <v>697</v>
      </c>
      <c r="P169" s="8" t="s">
        <v>729</v>
      </c>
      <c r="Q169" s="10" cm="1">
        <f t="array" ref="Q169">_xlfn.IFS([1]!DATA[[#This Row],[TYPE]]="Normal",[1]!DATA[[#This Row],[STORAGE DAYS]]*13,[1]!DATA[[#This Row],[TYPE]]="VIP",[1]!DATA[[#This Row],[STORAGE DAYS]]*20)</f>
        <v>1664</v>
      </c>
      <c r="R169" s="11" t="str">
        <f>IF(ISBLANK([1]!DATA[[#This Row],[COLDROOM RECEIPT]]),"IN CUSTODY","DISCHARGED")</f>
        <v>DISCHARGED</v>
      </c>
    </row>
    <row r="170" spans="1:18" ht="19.8">
      <c r="A170" s="1" t="s">
        <v>730</v>
      </c>
      <c r="B170" s="2" t="s">
        <v>731</v>
      </c>
      <c r="C170" s="2">
        <v>70</v>
      </c>
      <c r="D170" s="3" t="s">
        <v>16</v>
      </c>
      <c r="E170" s="3" t="s">
        <v>111</v>
      </c>
      <c r="F170" s="4">
        <v>247744664</v>
      </c>
      <c r="G170" s="3" t="s">
        <v>11</v>
      </c>
      <c r="H170" s="5">
        <v>0.79166666666666663</v>
      </c>
      <c r="I170" s="3" t="s">
        <v>2</v>
      </c>
      <c r="J170" s="6">
        <v>45836</v>
      </c>
      <c r="K170" s="6">
        <v>45961</v>
      </c>
      <c r="L170" s="2">
        <f>IF(ISBLANK([1]!DATA[[#This Row],[DISCHARGE DATE]]),"NO DISCHARGE DATE",[1]!DATA[[#This Row],[DISCHARGE DATE]]-[1]!DATA[[#This Row],[ADMISSION DATE]]+1)</f>
        <v>97</v>
      </c>
      <c r="M170" s="7">
        <v>350</v>
      </c>
      <c r="N170" s="7">
        <v>1638</v>
      </c>
      <c r="O170" s="8" t="s">
        <v>708</v>
      </c>
      <c r="P170" s="8" t="s">
        <v>732</v>
      </c>
      <c r="Q170" s="10" cm="1">
        <f t="array" ref="Q170">_xlfn.IFS([1]!DATA[[#This Row],[TYPE]]="Normal",[1]!DATA[[#This Row],[STORAGE DAYS]]*13,[1]!DATA[[#This Row],[TYPE]]="VIP",[1]!DATA[[#This Row],[STORAGE DAYS]]*20)</f>
        <v>1261</v>
      </c>
      <c r="R170" s="11" t="str">
        <f>IF(ISBLANK([1]!DATA[[#This Row],[COLDROOM RECEIPT]]),"IN CUSTODY","DISCHARGED")</f>
        <v>DISCHARGED</v>
      </c>
    </row>
    <row r="171" spans="1:18" ht="19.8">
      <c r="A171" s="1" t="s">
        <v>733</v>
      </c>
      <c r="B171" s="2" t="s">
        <v>734</v>
      </c>
      <c r="C171" s="2">
        <v>70</v>
      </c>
      <c r="D171" s="3" t="s">
        <v>16</v>
      </c>
      <c r="E171" s="3" t="s">
        <v>735</v>
      </c>
      <c r="F171" s="4">
        <v>246802783</v>
      </c>
      <c r="G171" s="3" t="s">
        <v>11</v>
      </c>
      <c r="H171" s="5">
        <v>0.6875</v>
      </c>
      <c r="I171" s="3" t="s">
        <v>145</v>
      </c>
      <c r="J171" s="6">
        <v>45838</v>
      </c>
      <c r="K171" s="6">
        <v>45961</v>
      </c>
      <c r="L171" s="2">
        <f>IF(ISBLANK([1]!DATA[[#This Row],[DISCHARGE DATE]]),"NO DISCHARGE DATE",[1]!DATA[[#This Row],[DISCHARGE DATE]]-[1]!DATA[[#This Row],[ADMISSION DATE]]+1)</f>
        <v>126</v>
      </c>
      <c r="M171" s="7">
        <v>350</v>
      </c>
      <c r="N171" s="7">
        <v>2480</v>
      </c>
      <c r="O171" s="8" t="s">
        <v>532</v>
      </c>
      <c r="P171" s="8" t="s">
        <v>736</v>
      </c>
      <c r="Q171" s="10" cm="1">
        <f t="array" ref="Q171">_xlfn.IFS([1]!DATA[[#This Row],[TYPE]]="Normal",[1]!DATA[[#This Row],[STORAGE DAYS]]*13,[1]!DATA[[#This Row],[TYPE]]="VIP",[1]!DATA[[#This Row],[STORAGE DAYS]]*20)</f>
        <v>1638</v>
      </c>
      <c r="R171" s="11" t="str">
        <f>IF(ISBLANK([1]!DATA[[#This Row],[COLDROOM RECEIPT]]),"IN CUSTODY","DISCHARGED")</f>
        <v>DISCHARGED</v>
      </c>
    </row>
    <row r="172" spans="1:18" ht="19.8">
      <c r="A172" s="1" t="s">
        <v>737</v>
      </c>
      <c r="B172" s="2" t="s">
        <v>738</v>
      </c>
      <c r="C172" s="2">
        <v>41</v>
      </c>
      <c r="D172" s="3" t="s">
        <v>0</v>
      </c>
      <c r="E172" s="3" t="s">
        <v>263</v>
      </c>
      <c r="F172" s="4">
        <v>559942653</v>
      </c>
      <c r="G172" s="3" t="s">
        <v>1</v>
      </c>
      <c r="H172" s="5">
        <v>0.5</v>
      </c>
      <c r="I172" s="3" t="s">
        <v>2</v>
      </c>
      <c r="J172" s="6">
        <v>45839</v>
      </c>
      <c r="K172" s="6">
        <v>45898</v>
      </c>
      <c r="L172" s="2">
        <f>IF(ISBLANK([1]!DATA[[#This Row],[DISCHARGE DATE]]),"NO DISCHARGE DATE",[1]!DATA[[#This Row],[DISCHARGE DATE]]-[1]!DATA[[#This Row],[ADMISSION DATE]]+1)</f>
        <v>124</v>
      </c>
      <c r="M172" s="7">
        <v>350</v>
      </c>
      <c r="N172" s="7">
        <v>780</v>
      </c>
      <c r="O172" s="8" t="s">
        <v>494</v>
      </c>
      <c r="P172" s="8" t="s">
        <v>739</v>
      </c>
      <c r="Q172" s="10" cm="1">
        <f t="array" ref="Q172">_xlfn.IFS([1]!DATA[[#This Row],[TYPE]]="Normal",[1]!DATA[[#This Row],[STORAGE DAYS]]*13,[1]!DATA[[#This Row],[TYPE]]="VIP",[1]!DATA[[#This Row],[STORAGE DAYS]]*20)</f>
        <v>2480</v>
      </c>
      <c r="R172" s="11" t="str">
        <f>IF(ISBLANK([1]!DATA[[#This Row],[COLDROOM RECEIPT]]),"IN CUSTODY","DISCHARGED")</f>
        <v>DISCHARGED</v>
      </c>
    </row>
    <row r="173" spans="1:18" ht="19.8">
      <c r="A173" s="1" t="s">
        <v>740</v>
      </c>
      <c r="B173" s="2" t="s">
        <v>741</v>
      </c>
      <c r="C173" s="2">
        <v>90</v>
      </c>
      <c r="D173" s="3" t="s">
        <v>16</v>
      </c>
      <c r="E173" s="3" t="s">
        <v>742</v>
      </c>
      <c r="F173" s="4">
        <v>537961472</v>
      </c>
      <c r="G173" s="3" t="s">
        <v>1</v>
      </c>
      <c r="H173" s="5">
        <v>0.58333333333333337</v>
      </c>
      <c r="I173" s="3" t="s">
        <v>2</v>
      </c>
      <c r="J173" s="6">
        <v>45847</v>
      </c>
      <c r="K173" s="6">
        <v>45989</v>
      </c>
      <c r="L173" s="2">
        <f>IF(ISBLANK([1]!DATA[[#This Row],[DISCHARGE DATE]]),"NO DISCHARGE DATE",[1]!DATA[[#This Row],[DISCHARGE DATE]]-[1]!DATA[[#This Row],[ADMISSION DATE]]+1)</f>
        <v>60</v>
      </c>
      <c r="M173" s="7">
        <v>350</v>
      </c>
      <c r="N173" s="7">
        <v>1759</v>
      </c>
      <c r="O173" s="8" t="s">
        <v>743</v>
      </c>
      <c r="P173" s="8" t="s">
        <v>744</v>
      </c>
      <c r="Q173" s="10" cm="1">
        <f t="array" ref="Q173">_xlfn.IFS([1]!DATA[[#This Row],[TYPE]]="Normal",[1]!DATA[[#This Row],[STORAGE DAYS]]*13,[1]!DATA[[#This Row],[TYPE]]="VIP",[1]!DATA[[#This Row],[STORAGE DAYS]]*20)</f>
        <v>780</v>
      </c>
      <c r="R173" s="11" t="str">
        <f>IF(ISBLANK([1]!DATA[[#This Row],[COLDROOM RECEIPT]]),"IN CUSTODY","DISCHARGED")</f>
        <v>DISCHARGED</v>
      </c>
    </row>
    <row r="174" spans="1:18" ht="19.8">
      <c r="A174" s="1" t="s">
        <v>745</v>
      </c>
      <c r="B174" s="2" t="s">
        <v>746</v>
      </c>
      <c r="C174" s="2">
        <v>78</v>
      </c>
      <c r="D174" s="3" t="s">
        <v>0</v>
      </c>
      <c r="E174" s="3" t="s">
        <v>458</v>
      </c>
      <c r="F174" s="4">
        <v>242122292</v>
      </c>
      <c r="G174" s="3" t="s">
        <v>1</v>
      </c>
      <c r="H174" s="5">
        <v>0.625</v>
      </c>
      <c r="I174" s="3" t="s">
        <v>2</v>
      </c>
      <c r="J174" s="6">
        <v>45849</v>
      </c>
      <c r="K174" s="6">
        <v>46108</v>
      </c>
      <c r="L174" s="2">
        <f>IF(ISBLANK([1]!DATA[[#This Row],[DISCHARGE DATE]]),"NO DISCHARGE DATE",[1]!DATA[[#This Row],[DISCHARGE DATE]]-[1]!DATA[[#This Row],[ADMISSION DATE]]+1)</f>
        <v>143</v>
      </c>
      <c r="M174" s="7">
        <v>350</v>
      </c>
      <c r="N174" s="7"/>
      <c r="O174" s="8" t="s">
        <v>557</v>
      </c>
      <c r="P174" s="8"/>
      <c r="Q174" s="10" cm="1">
        <f t="array" ref="Q174">_xlfn.IFS([1]!DATA[[#This Row],[TYPE]]="Normal",[1]!DATA[[#This Row],[STORAGE DAYS]]*13,[1]!DATA[[#This Row],[TYPE]]="VIP",[1]!DATA[[#This Row],[STORAGE DAYS]]*20)</f>
        <v>1859</v>
      </c>
      <c r="R174" s="11" t="str">
        <f>IF(ISBLANK([1]!DATA[[#This Row],[COLDROOM RECEIPT]]),"IN CUSTODY","DISCHARGED")</f>
        <v>DISCHARGED</v>
      </c>
    </row>
    <row r="175" spans="1:18" ht="19.8">
      <c r="A175" s="1" t="s">
        <v>747</v>
      </c>
      <c r="B175" s="2" t="s">
        <v>748</v>
      </c>
      <c r="C175" s="2">
        <v>53</v>
      </c>
      <c r="D175" s="3" t="s">
        <v>16</v>
      </c>
      <c r="E175" s="3" t="s">
        <v>749</v>
      </c>
      <c r="F175" s="4">
        <v>546500381</v>
      </c>
      <c r="G175" s="3" t="s">
        <v>18</v>
      </c>
      <c r="H175" s="5">
        <v>0.58333333333333337</v>
      </c>
      <c r="I175" s="3" t="s">
        <v>2</v>
      </c>
      <c r="J175" s="6">
        <v>45851</v>
      </c>
      <c r="K175" s="6">
        <v>45933</v>
      </c>
      <c r="L175" s="2">
        <f>IF(ISBLANK([1]!DATA[[#This Row],[DISCHARGE DATE]]),"NO DISCHARGE DATE",[1]!DATA[[#This Row],[DISCHARGE DATE]]-[1]!DATA[[#This Row],[ADMISSION DATE]]+1)</f>
        <v>260</v>
      </c>
      <c r="M175" s="7">
        <v>350</v>
      </c>
      <c r="N175" s="7">
        <v>1079</v>
      </c>
      <c r="O175" s="8" t="s">
        <v>386</v>
      </c>
      <c r="P175" s="8" t="s">
        <v>750</v>
      </c>
      <c r="Q175" s="10" cm="1">
        <f t="array" ref="Q175">_xlfn.IFS([1]!DATA[[#This Row],[TYPE]]="Normal",[1]!DATA[[#This Row],[STORAGE DAYS]]*13,[1]!DATA[[#This Row],[TYPE]]="VIP",[1]!DATA[[#This Row],[STORAGE DAYS]]*20)</f>
        <v>3380</v>
      </c>
      <c r="R175" s="11" t="str">
        <f>IF(ISBLANK([1]!DATA[[#This Row],[COLDROOM RECEIPT]]),"IN CUSTODY","DISCHARGED")</f>
        <v>IN CUSTODY</v>
      </c>
    </row>
    <row r="176" spans="1:18" ht="19.8">
      <c r="A176" s="1" t="s">
        <v>751</v>
      </c>
      <c r="B176" s="2" t="s">
        <v>752</v>
      </c>
      <c r="C176" s="2">
        <v>60</v>
      </c>
      <c r="D176" s="3" t="s">
        <v>0</v>
      </c>
      <c r="E176" s="3" t="s">
        <v>753</v>
      </c>
      <c r="F176" s="4">
        <v>535372585</v>
      </c>
      <c r="G176" s="3" t="s">
        <v>18</v>
      </c>
      <c r="H176" s="5">
        <v>0.71944444444444444</v>
      </c>
      <c r="I176" s="3" t="s">
        <v>2</v>
      </c>
      <c r="J176" s="6">
        <v>45855</v>
      </c>
      <c r="K176" s="6">
        <v>45933</v>
      </c>
      <c r="L176" s="2">
        <f>IF(ISBLANK([1]!DATA[[#This Row],[DISCHARGE DATE]]),"NO DISCHARGE DATE",[1]!DATA[[#This Row],[DISCHARGE DATE]]-[1]!DATA[[#This Row],[ADMISSION DATE]]+1)</f>
        <v>83</v>
      </c>
      <c r="M176" s="7">
        <v>350</v>
      </c>
      <c r="N176" s="7">
        <v>1027</v>
      </c>
      <c r="O176" s="8" t="s">
        <v>604</v>
      </c>
      <c r="P176" s="8" t="s">
        <v>754</v>
      </c>
      <c r="Q176" s="10" cm="1">
        <f t="array" ref="Q176">_xlfn.IFS([1]!DATA[[#This Row],[TYPE]]="Normal",[1]!DATA[[#This Row],[STORAGE DAYS]]*13,[1]!DATA[[#This Row],[TYPE]]="VIP",[1]!DATA[[#This Row],[STORAGE DAYS]]*20)</f>
        <v>1079</v>
      </c>
      <c r="R176" s="11" t="str">
        <f>IF(ISBLANK([1]!DATA[[#This Row],[COLDROOM RECEIPT]]),"IN CUSTODY","DISCHARGED")</f>
        <v>DISCHARGED</v>
      </c>
    </row>
    <row r="177" spans="1:18" ht="19.8">
      <c r="A177" s="1" t="s">
        <v>755</v>
      </c>
      <c r="B177" s="2" t="s">
        <v>756</v>
      </c>
      <c r="C177" s="2">
        <v>47</v>
      </c>
      <c r="D177" s="3" t="s">
        <v>16</v>
      </c>
      <c r="E177" s="3" t="s">
        <v>757</v>
      </c>
      <c r="F177" s="4">
        <v>243309054</v>
      </c>
      <c r="G177" s="3" t="s">
        <v>1</v>
      </c>
      <c r="H177" s="5">
        <v>0.33333333333333331</v>
      </c>
      <c r="I177" s="3" t="s">
        <v>145</v>
      </c>
      <c r="J177" s="6">
        <v>45857</v>
      </c>
      <c r="K177" s="6">
        <v>45933</v>
      </c>
      <c r="L177" s="2">
        <f>IF(ISBLANK([1]!DATA[[#This Row],[DISCHARGE DATE]]),"NO DISCHARGE DATE",[1]!DATA[[#This Row],[DISCHARGE DATE]]-[1]!DATA[[#This Row],[ADMISSION DATE]]+1)</f>
        <v>79</v>
      </c>
      <c r="M177" s="7">
        <v>350</v>
      </c>
      <c r="N177" s="7">
        <v>1540</v>
      </c>
      <c r="O177" s="8" t="s">
        <v>758</v>
      </c>
      <c r="P177" s="8" t="s">
        <v>759</v>
      </c>
      <c r="Q177" s="10" cm="1">
        <f t="array" ref="Q177">_xlfn.IFS([1]!DATA[[#This Row],[TYPE]]="Normal",[1]!DATA[[#This Row],[STORAGE DAYS]]*13,[1]!DATA[[#This Row],[TYPE]]="VIP",[1]!DATA[[#This Row],[STORAGE DAYS]]*20)</f>
        <v>1027</v>
      </c>
      <c r="R177" s="11" t="str">
        <f>IF(ISBLANK([1]!DATA[[#This Row],[COLDROOM RECEIPT]]),"IN CUSTODY","DISCHARGED")</f>
        <v>DISCHARGED</v>
      </c>
    </row>
    <row r="178" spans="1:18" ht="19.8">
      <c r="A178" s="1" t="s">
        <v>760</v>
      </c>
      <c r="B178" s="2" t="s">
        <v>761</v>
      </c>
      <c r="C178" s="2">
        <v>42</v>
      </c>
      <c r="D178" s="3" t="s">
        <v>0</v>
      </c>
      <c r="E178" s="3" t="s">
        <v>762</v>
      </c>
      <c r="F178" s="4">
        <v>240929810</v>
      </c>
      <c r="G178" s="3" t="s">
        <v>11</v>
      </c>
      <c r="H178" s="5">
        <v>0.97222222222222221</v>
      </c>
      <c r="I178" s="3" t="s">
        <v>145</v>
      </c>
      <c r="J178" s="6">
        <v>45856</v>
      </c>
      <c r="K178" s="6">
        <v>45919</v>
      </c>
      <c r="L178" s="2">
        <f>IF(ISBLANK([1]!DATA[[#This Row],[DISCHARGE DATE]]),"NO DISCHARGE DATE",[1]!DATA[[#This Row],[DISCHARGE DATE]]-[1]!DATA[[#This Row],[ADMISSION DATE]]+1)</f>
        <v>77</v>
      </c>
      <c r="M178" s="7">
        <v>350</v>
      </c>
      <c r="N178" s="7">
        <v>1280</v>
      </c>
      <c r="O178" s="8" t="s">
        <v>432</v>
      </c>
      <c r="P178" s="8" t="s">
        <v>763</v>
      </c>
      <c r="Q178" s="10" cm="1">
        <f t="array" ref="Q178">_xlfn.IFS([1]!DATA[[#This Row],[TYPE]]="Normal",[1]!DATA[[#This Row],[STORAGE DAYS]]*13,[1]!DATA[[#This Row],[TYPE]]="VIP",[1]!DATA[[#This Row],[STORAGE DAYS]]*20)</f>
        <v>1540</v>
      </c>
      <c r="R178" s="11" t="str">
        <f>IF(ISBLANK([1]!DATA[[#This Row],[COLDROOM RECEIPT]]),"IN CUSTODY","DISCHARGED")</f>
        <v>DISCHARGED</v>
      </c>
    </row>
    <row r="179" spans="1:18" ht="19.8">
      <c r="A179" s="1" t="s">
        <v>764</v>
      </c>
      <c r="B179" s="2" t="s">
        <v>765</v>
      </c>
      <c r="C179" s="2">
        <v>31</v>
      </c>
      <c r="D179" s="3" t="s">
        <v>0</v>
      </c>
      <c r="E179" s="3" t="s">
        <v>766</v>
      </c>
      <c r="F179" s="4">
        <v>242886362</v>
      </c>
      <c r="G179" s="3" t="s">
        <v>767</v>
      </c>
      <c r="H179" s="5">
        <v>0.41388888888888886</v>
      </c>
      <c r="I179" s="3" t="s">
        <v>2</v>
      </c>
      <c r="J179" s="6">
        <v>45858</v>
      </c>
      <c r="K179" s="6">
        <v>45870</v>
      </c>
      <c r="L179" s="2">
        <f>IF(ISBLANK([1]!DATA[[#This Row],[DISCHARGE DATE]]),"NO DISCHARGE DATE",[1]!DATA[[#This Row],[DISCHARGE DATE]]-[1]!DATA[[#This Row],[ADMISSION DATE]]+1)</f>
        <v>64</v>
      </c>
      <c r="M179" s="7">
        <v>350</v>
      </c>
      <c r="N179" s="7">
        <v>169</v>
      </c>
      <c r="O179" s="8" t="s">
        <v>523</v>
      </c>
      <c r="P179" s="8" t="s">
        <v>743</v>
      </c>
      <c r="Q179" s="10" cm="1">
        <f t="array" ref="Q179">_xlfn.IFS([1]!DATA[[#This Row],[TYPE]]="Normal",[1]!DATA[[#This Row],[STORAGE DAYS]]*13,[1]!DATA[[#This Row],[TYPE]]="VIP",[1]!DATA[[#This Row],[STORAGE DAYS]]*20)</f>
        <v>1280</v>
      </c>
      <c r="R179" s="11" t="str">
        <f>IF(ISBLANK([1]!DATA[[#This Row],[COLDROOM RECEIPT]]),"IN CUSTODY","DISCHARGED")</f>
        <v>DISCHARGED</v>
      </c>
    </row>
    <row r="180" spans="1:18" ht="19.8">
      <c r="A180" s="1" t="s">
        <v>768</v>
      </c>
      <c r="B180" s="2" t="s">
        <v>769</v>
      </c>
      <c r="C180" s="2">
        <v>46</v>
      </c>
      <c r="D180" s="3" t="s">
        <v>16</v>
      </c>
      <c r="E180" s="3" t="s">
        <v>770</v>
      </c>
      <c r="F180" s="4">
        <v>243672539</v>
      </c>
      <c r="G180" s="3" t="s">
        <v>1</v>
      </c>
      <c r="H180" s="5">
        <v>0.75</v>
      </c>
      <c r="I180" s="3" t="s">
        <v>2</v>
      </c>
      <c r="J180" s="6">
        <v>45857</v>
      </c>
      <c r="K180" s="6">
        <v>45961</v>
      </c>
      <c r="L180" s="2">
        <f>IF(ISBLANK([1]!DATA[[#This Row],[DISCHARGE DATE]]),"NO DISCHARGE DATE",[1]!DATA[[#This Row],[DISCHARGE DATE]]-[1]!DATA[[#This Row],[ADMISSION DATE]]+1)</f>
        <v>13</v>
      </c>
      <c r="M180" s="7">
        <v>350</v>
      </c>
      <c r="N180" s="7">
        <v>1365</v>
      </c>
      <c r="O180" s="8" t="s">
        <v>599</v>
      </c>
      <c r="P180" s="8" t="s">
        <v>771</v>
      </c>
      <c r="Q180" s="10" cm="1">
        <f t="array" ref="Q180">_xlfn.IFS([1]!DATA[[#This Row],[TYPE]]="Normal",[1]!DATA[[#This Row],[STORAGE DAYS]]*13,[1]!DATA[[#This Row],[TYPE]]="VIP",[1]!DATA[[#This Row],[STORAGE DAYS]]*20)</f>
        <v>169</v>
      </c>
      <c r="R180" s="11" t="str">
        <f>IF(ISBLANK([1]!DATA[[#This Row],[COLDROOM RECEIPT]]),"IN CUSTODY","DISCHARGED")</f>
        <v>DISCHARGED</v>
      </c>
    </row>
    <row r="181" spans="1:18" ht="19.8">
      <c r="A181" s="1" t="s">
        <v>772</v>
      </c>
      <c r="B181" s="2" t="s">
        <v>773</v>
      </c>
      <c r="C181" s="2">
        <v>45</v>
      </c>
      <c r="D181" s="3" t="s">
        <v>0</v>
      </c>
      <c r="E181" s="3" t="s">
        <v>774</v>
      </c>
      <c r="F181" s="4">
        <v>559213457</v>
      </c>
      <c r="G181" s="3" t="s">
        <v>11</v>
      </c>
      <c r="H181" s="5">
        <v>0.34513888888888888</v>
      </c>
      <c r="I181" s="3" t="s">
        <v>145</v>
      </c>
      <c r="J181" s="6">
        <v>45860</v>
      </c>
      <c r="K181" s="6">
        <v>45954</v>
      </c>
      <c r="L181" s="2">
        <f>IF(ISBLANK([1]!DATA[[#This Row],[DISCHARGE DATE]]),"NO DISCHARGE DATE",[1]!DATA[[#This Row],[DISCHARGE DATE]]-[1]!DATA[[#This Row],[ADMISSION DATE]]+1)</f>
        <v>105</v>
      </c>
      <c r="M181" s="7">
        <v>350</v>
      </c>
      <c r="N181" s="7">
        <v>1900</v>
      </c>
      <c r="O181" s="8" t="s">
        <v>634</v>
      </c>
      <c r="P181" s="8" t="s">
        <v>775</v>
      </c>
      <c r="Q181" s="10" cm="1">
        <f t="array" ref="Q181">_xlfn.IFS([1]!DATA[[#This Row],[TYPE]]="Normal",[1]!DATA[[#This Row],[STORAGE DAYS]]*13,[1]!DATA[[#This Row],[TYPE]]="VIP",[1]!DATA[[#This Row],[STORAGE DAYS]]*20)</f>
        <v>1365</v>
      </c>
      <c r="R181" s="11" t="str">
        <f>IF(ISBLANK([1]!DATA[[#This Row],[COLDROOM RECEIPT]]),"IN CUSTODY","DISCHARGED")</f>
        <v>DISCHARGED</v>
      </c>
    </row>
    <row r="182" spans="1:18" ht="19.8">
      <c r="A182" s="1" t="s">
        <v>776</v>
      </c>
      <c r="B182" s="2" t="s">
        <v>777</v>
      </c>
      <c r="C182" s="2">
        <v>35</v>
      </c>
      <c r="D182" s="3" t="s">
        <v>16</v>
      </c>
      <c r="E182" s="3" t="s">
        <v>778</v>
      </c>
      <c r="F182" s="4">
        <v>201669517</v>
      </c>
      <c r="G182" s="3" t="s">
        <v>539</v>
      </c>
      <c r="H182" s="5">
        <v>0.6958333333333333</v>
      </c>
      <c r="I182" s="3" t="s">
        <v>145</v>
      </c>
      <c r="J182" s="6">
        <v>45861</v>
      </c>
      <c r="K182" s="6">
        <v>45898</v>
      </c>
      <c r="L182" s="2">
        <f>IF(ISBLANK([1]!DATA[[#This Row],[DISCHARGE DATE]]),"NO DISCHARGE DATE",[1]!DATA[[#This Row],[DISCHARGE DATE]]-[1]!DATA[[#This Row],[ADMISSION DATE]]+1)</f>
        <v>95</v>
      </c>
      <c r="M182" s="7">
        <v>350</v>
      </c>
      <c r="N182" s="7">
        <v>760</v>
      </c>
      <c r="O182" s="8" t="s">
        <v>381</v>
      </c>
      <c r="P182" s="8" t="s">
        <v>779</v>
      </c>
      <c r="Q182" s="10" cm="1">
        <f t="array" ref="Q182">_xlfn.IFS([1]!DATA[[#This Row],[TYPE]]="Normal",[1]!DATA[[#This Row],[STORAGE DAYS]]*13,[1]!DATA[[#This Row],[TYPE]]="VIP",[1]!DATA[[#This Row],[STORAGE DAYS]]*20)</f>
        <v>1900</v>
      </c>
      <c r="R182" s="11" t="str">
        <f>IF(ISBLANK([1]!DATA[[#This Row],[COLDROOM RECEIPT]]),"IN CUSTODY","DISCHARGED")</f>
        <v>DISCHARGED</v>
      </c>
    </row>
    <row r="183" spans="1:18" ht="19.8">
      <c r="A183" s="1" t="s">
        <v>780</v>
      </c>
      <c r="B183" s="2" t="s">
        <v>781</v>
      </c>
      <c r="C183" s="2">
        <v>54</v>
      </c>
      <c r="D183" s="3" t="s">
        <v>0</v>
      </c>
      <c r="E183" s="3" t="s">
        <v>782</v>
      </c>
      <c r="F183" s="4">
        <v>541911615</v>
      </c>
      <c r="G183" s="3" t="s">
        <v>11</v>
      </c>
      <c r="H183" s="5">
        <v>0.40486111111111112</v>
      </c>
      <c r="I183" s="3" t="s">
        <v>145</v>
      </c>
      <c r="J183" s="6">
        <v>45867</v>
      </c>
      <c r="K183" s="6">
        <v>45954</v>
      </c>
      <c r="L183" s="2">
        <f>IF(ISBLANK([1]!DATA[[#This Row],[DISCHARGE DATE]]),"NO DISCHARGE DATE",[1]!DATA[[#This Row],[DISCHARGE DATE]]-[1]!DATA[[#This Row],[ADMISSION DATE]]+1)</f>
        <v>38</v>
      </c>
      <c r="M183" s="7">
        <v>350</v>
      </c>
      <c r="N183" s="7">
        <v>1760</v>
      </c>
      <c r="O183" s="8" t="s">
        <v>455</v>
      </c>
      <c r="P183" s="8" t="s">
        <v>783</v>
      </c>
      <c r="Q183" s="10" cm="1">
        <f t="array" ref="Q183">_xlfn.IFS([1]!DATA[[#This Row],[TYPE]]="Normal",[1]!DATA[[#This Row],[STORAGE DAYS]]*13,[1]!DATA[[#This Row],[TYPE]]="VIP",[1]!DATA[[#This Row],[STORAGE DAYS]]*20)</f>
        <v>760</v>
      </c>
      <c r="R183" s="11" t="str">
        <f>IF(ISBLANK([1]!DATA[[#This Row],[COLDROOM RECEIPT]]),"IN CUSTODY","DISCHARGED")</f>
        <v>DISCHARGED</v>
      </c>
    </row>
    <row r="184" spans="1:18" ht="19.8">
      <c r="A184" s="1" t="s">
        <v>784</v>
      </c>
      <c r="B184" s="2" t="s">
        <v>785</v>
      </c>
      <c r="C184" s="2">
        <v>90</v>
      </c>
      <c r="D184" s="3" t="s">
        <v>16</v>
      </c>
      <c r="E184" s="3" t="s">
        <v>786</v>
      </c>
      <c r="F184" s="4">
        <v>240618158</v>
      </c>
      <c r="G184" s="3" t="s">
        <v>787</v>
      </c>
      <c r="H184" s="5">
        <v>0.9375</v>
      </c>
      <c r="I184" s="3" t="s">
        <v>2</v>
      </c>
      <c r="J184" s="6">
        <v>45868</v>
      </c>
      <c r="K184" s="6"/>
      <c r="L184" s="2">
        <f>IF(ISBLANK([1]!DATA[[#This Row],[DISCHARGE DATE]]),"NO DISCHARGE DATE",[1]!DATA[[#This Row],[DISCHARGE DATE]]-[1]!DATA[[#This Row],[ADMISSION DATE]]+1)</f>
        <v>88</v>
      </c>
      <c r="M184" s="7">
        <v>350</v>
      </c>
      <c r="N184" s="7"/>
      <c r="O184" s="8" t="s">
        <v>779</v>
      </c>
      <c r="P184" s="8"/>
      <c r="Q184" s="10" cm="1">
        <f t="array" ref="Q184">_xlfn.IFS([1]!DATA[[#This Row],[TYPE]]="Normal",[1]!DATA[[#This Row],[STORAGE DAYS]]*13,[1]!DATA[[#This Row],[TYPE]]="VIP",[1]!DATA[[#This Row],[STORAGE DAYS]]*20)</f>
        <v>1760</v>
      </c>
      <c r="R184" s="11" t="str">
        <f>IF(ISBLANK([1]!DATA[[#This Row],[COLDROOM RECEIPT]]),"IN CUSTODY","DISCHARGED")</f>
        <v>DISCHARGED</v>
      </c>
    </row>
    <row r="185" spans="1:18" ht="19.8">
      <c r="A185" s="1" t="s">
        <v>788</v>
      </c>
      <c r="B185" s="2" t="s">
        <v>789</v>
      </c>
      <c r="C185" s="2">
        <v>25</v>
      </c>
      <c r="D185" s="3" t="s">
        <v>0</v>
      </c>
      <c r="E185" s="3" t="s">
        <v>566</v>
      </c>
      <c r="F185" s="4">
        <v>536038692</v>
      </c>
      <c r="G185" s="3" t="s">
        <v>1</v>
      </c>
      <c r="H185" s="5">
        <v>0.84722222222222221</v>
      </c>
      <c r="I185" s="3" t="s">
        <v>2</v>
      </c>
      <c r="J185" s="6">
        <v>45873</v>
      </c>
      <c r="K185" s="6">
        <v>45912</v>
      </c>
      <c r="L185" s="2" t="str">
        <f>IF(ISBLANK([1]!DATA[[#This Row],[DISCHARGE DATE]]),"NO DISCHARGE DATE",[1]!DATA[[#This Row],[DISCHARGE DATE]]-[1]!DATA[[#This Row],[ADMISSION DATE]]+1)</f>
        <v>NO DISCHARGE DATE</v>
      </c>
      <c r="M185" s="7">
        <v>350</v>
      </c>
      <c r="N185" s="7">
        <v>520</v>
      </c>
      <c r="O185" s="8" t="s">
        <v>594</v>
      </c>
      <c r="P185" s="8" t="s">
        <v>790</v>
      </c>
      <c r="Q185" s="10" t="e" cm="1">
        <f t="array" ref="Q185">_xlfn.IFS([1]!DATA[[#This Row],[TYPE]]="Normal",[1]!DATA[[#This Row],[STORAGE DAYS]]*13,[1]!DATA[[#This Row],[TYPE]]="VIP",[1]!DATA[[#This Row],[STORAGE DAYS]]*20)</f>
        <v>#VALUE!</v>
      </c>
      <c r="R185" s="11" t="str">
        <f>IF(ISBLANK([1]!DATA[[#This Row],[COLDROOM RECEIPT]]),"IN CUSTODY","DISCHARGED")</f>
        <v>IN CUSTODY</v>
      </c>
    </row>
    <row r="186" spans="1:18" ht="19.8">
      <c r="A186" s="1" t="s">
        <v>791</v>
      </c>
      <c r="B186" s="2" t="s">
        <v>792</v>
      </c>
      <c r="C186" s="2">
        <v>51</v>
      </c>
      <c r="D186" s="3" t="s">
        <v>0</v>
      </c>
      <c r="E186" s="3" t="s">
        <v>793</v>
      </c>
      <c r="F186" s="4">
        <v>248104541</v>
      </c>
      <c r="G186" s="3" t="s">
        <v>1</v>
      </c>
      <c r="H186" s="5">
        <v>0.89583333333333337</v>
      </c>
      <c r="I186" s="3" t="s">
        <v>145</v>
      </c>
      <c r="J186" s="6">
        <v>45874</v>
      </c>
      <c r="K186" s="6">
        <v>45989</v>
      </c>
      <c r="L186" s="2">
        <f>IF(ISBLANK([1]!DATA[[#This Row],[DISCHARGE DATE]]),"NO DISCHARGE DATE",[1]!DATA[[#This Row],[DISCHARGE DATE]]-[1]!DATA[[#This Row],[ADMISSION DATE]]+1)</f>
        <v>40</v>
      </c>
      <c r="M186" s="7">
        <v>350</v>
      </c>
      <c r="N186" s="7">
        <v>2120</v>
      </c>
      <c r="O186" s="8" t="s">
        <v>484</v>
      </c>
      <c r="P186" s="8" t="s">
        <v>483</v>
      </c>
      <c r="Q186" s="10" cm="1">
        <f t="array" ref="Q186">_xlfn.IFS([1]!DATA[[#This Row],[TYPE]]="Normal",[1]!DATA[[#This Row],[STORAGE DAYS]]*13,[1]!DATA[[#This Row],[TYPE]]="VIP",[1]!DATA[[#This Row],[STORAGE DAYS]]*20)</f>
        <v>520</v>
      </c>
      <c r="R186" s="11" t="str">
        <f>IF(ISBLANK([1]!DATA[[#This Row],[COLDROOM RECEIPT]]),"IN CUSTODY","DISCHARGED")</f>
        <v>DISCHARGED</v>
      </c>
    </row>
    <row r="187" spans="1:18" ht="19.8">
      <c r="A187" s="1" t="s">
        <v>794</v>
      </c>
      <c r="B187" s="2" t="s">
        <v>795</v>
      </c>
      <c r="C187" s="2">
        <v>69</v>
      </c>
      <c r="D187" s="3" t="s">
        <v>0</v>
      </c>
      <c r="E187" s="3" t="s">
        <v>796</v>
      </c>
      <c r="F187" s="4">
        <v>243917189</v>
      </c>
      <c r="G187" s="3" t="s">
        <v>1</v>
      </c>
      <c r="H187" s="5">
        <v>0.59722222222222221</v>
      </c>
      <c r="I187" s="3" t="s">
        <v>2</v>
      </c>
      <c r="J187" s="6">
        <v>45875</v>
      </c>
      <c r="K187" s="6">
        <v>45989</v>
      </c>
      <c r="L187" s="2">
        <f>IF(ISBLANK([1]!DATA[[#This Row],[DISCHARGE DATE]]),"NO DISCHARGE DATE",[1]!DATA[[#This Row],[DISCHARGE DATE]]-[1]!DATA[[#This Row],[ADMISSION DATE]]+1)</f>
        <v>116</v>
      </c>
      <c r="M187" s="7">
        <v>350</v>
      </c>
      <c r="N187" s="7">
        <v>1395</v>
      </c>
      <c r="O187" s="8" t="s">
        <v>499</v>
      </c>
      <c r="P187" s="8" t="s">
        <v>473</v>
      </c>
      <c r="Q187" s="10" cm="1">
        <f t="array" ref="Q187">_xlfn.IFS([1]!DATA[[#This Row],[TYPE]]="Normal",[1]!DATA[[#This Row],[STORAGE DAYS]]*13,[1]!DATA[[#This Row],[TYPE]]="VIP",[1]!DATA[[#This Row],[STORAGE DAYS]]*20)</f>
        <v>2320</v>
      </c>
      <c r="R187" s="11" t="str">
        <f>IF(ISBLANK([1]!DATA[[#This Row],[COLDROOM RECEIPT]]),"IN CUSTODY","DISCHARGED")</f>
        <v>DISCHARGED</v>
      </c>
    </row>
    <row r="188" spans="1:18" ht="19.8">
      <c r="A188" s="1" t="s">
        <v>797</v>
      </c>
      <c r="B188" s="2" t="s">
        <v>798</v>
      </c>
      <c r="C188" s="2">
        <v>78</v>
      </c>
      <c r="D188" s="3" t="s">
        <v>0</v>
      </c>
      <c r="E188" s="3" t="s">
        <v>799</v>
      </c>
      <c r="F188" s="4">
        <v>535769827</v>
      </c>
      <c r="G188" s="3" t="s">
        <v>1</v>
      </c>
      <c r="H188" s="5">
        <v>0.5</v>
      </c>
      <c r="I188" s="3" t="s">
        <v>2</v>
      </c>
      <c r="J188" s="6">
        <v>45877</v>
      </c>
      <c r="K188" s="6">
        <v>45933</v>
      </c>
      <c r="L188" s="2">
        <f>IF(ISBLANK([1]!DATA[[#This Row],[DISCHARGE DATE]]),"NO DISCHARGE DATE",[1]!DATA[[#This Row],[DISCHARGE DATE]]-[1]!DATA[[#This Row],[ADMISSION DATE]]+1)</f>
        <v>115</v>
      </c>
      <c r="M188" s="7">
        <v>350</v>
      </c>
      <c r="N188" s="7">
        <v>741</v>
      </c>
      <c r="O188" s="8" t="s">
        <v>673</v>
      </c>
      <c r="P188" s="8" t="s">
        <v>800</v>
      </c>
      <c r="Q188" s="10" cm="1">
        <f t="array" ref="Q188">_xlfn.IFS([1]!DATA[[#This Row],[TYPE]]="Normal",[1]!DATA[[#This Row],[STORAGE DAYS]]*13,[1]!DATA[[#This Row],[TYPE]]="VIP",[1]!DATA[[#This Row],[STORAGE DAYS]]*20)</f>
        <v>1495</v>
      </c>
      <c r="R188" s="11" t="str">
        <f>IF(ISBLANK([1]!DATA[[#This Row],[COLDROOM RECEIPT]]),"IN CUSTODY","DISCHARGED")</f>
        <v>DISCHARGED</v>
      </c>
    </row>
    <row r="189" spans="1:18" ht="19.8">
      <c r="A189" s="1" t="s">
        <v>801</v>
      </c>
      <c r="B189" s="2" t="s">
        <v>802</v>
      </c>
      <c r="C189" s="2">
        <v>46</v>
      </c>
      <c r="D189" s="3" t="s">
        <v>16</v>
      </c>
      <c r="E189" s="3" t="s">
        <v>803</v>
      </c>
      <c r="F189" s="21" t="s">
        <v>804</v>
      </c>
      <c r="G189" s="3" t="s">
        <v>1</v>
      </c>
      <c r="H189" s="5">
        <v>0.6875</v>
      </c>
      <c r="I189" s="3" t="s">
        <v>145</v>
      </c>
      <c r="J189" s="6">
        <v>45878</v>
      </c>
      <c r="K189" s="6">
        <v>45961</v>
      </c>
      <c r="L189" s="2">
        <f>IF(ISBLANK([1]!DATA[[#This Row],[DISCHARGE DATE]]),"NO DISCHARGE DATE",[1]!DATA[[#This Row],[DISCHARGE DATE]]-[1]!DATA[[#This Row],[ADMISSION DATE]]+1)</f>
        <v>57</v>
      </c>
      <c r="M189" s="7">
        <v>350</v>
      </c>
      <c r="N189" s="7">
        <v>840</v>
      </c>
      <c r="O189" s="8" t="s">
        <v>693</v>
      </c>
      <c r="P189" s="8" t="s">
        <v>805</v>
      </c>
      <c r="Q189" s="10" cm="1">
        <f t="array" ref="Q189">_xlfn.IFS([1]!DATA[[#This Row],[TYPE]]="Normal",[1]!DATA[[#This Row],[STORAGE DAYS]]*13,[1]!DATA[[#This Row],[TYPE]]="VIP",[1]!DATA[[#This Row],[STORAGE DAYS]]*20)</f>
        <v>741</v>
      </c>
      <c r="R189" s="11" t="str">
        <f>IF(ISBLANK([1]!DATA[[#This Row],[COLDROOM RECEIPT]]),"IN CUSTODY","DISCHARGED")</f>
        <v>DISCHARGED</v>
      </c>
    </row>
    <row r="190" spans="1:18" ht="19.8">
      <c r="A190" s="1" t="s">
        <v>806</v>
      </c>
      <c r="B190" s="2" t="s">
        <v>807</v>
      </c>
      <c r="C190" s="2">
        <v>98</v>
      </c>
      <c r="D190" s="3" t="s">
        <v>0</v>
      </c>
      <c r="E190" s="3" t="s">
        <v>808</v>
      </c>
      <c r="F190" s="4">
        <v>536960022</v>
      </c>
      <c r="G190" s="3" t="s">
        <v>11</v>
      </c>
      <c r="H190" s="5">
        <v>0.34027777777777779</v>
      </c>
      <c r="I190" s="3" t="s">
        <v>2</v>
      </c>
      <c r="J190" s="6">
        <v>45882</v>
      </c>
      <c r="K190" s="6">
        <v>45919</v>
      </c>
      <c r="L190" s="2">
        <f>IF(ISBLANK([1]!DATA[[#This Row],[DISCHARGE DATE]]),"NO DISCHARGE DATE",[1]!DATA[[#This Row],[DISCHARGE DATE]]-[1]!DATA[[#This Row],[ADMISSION DATE]]+1)</f>
        <v>84</v>
      </c>
      <c r="M190" s="7">
        <v>350</v>
      </c>
      <c r="N190" s="7">
        <v>494</v>
      </c>
      <c r="O190" s="8" t="s">
        <v>589</v>
      </c>
      <c r="P190" s="8" t="s">
        <v>809</v>
      </c>
      <c r="Q190" s="10" cm="1">
        <f t="array" ref="Q190">_xlfn.IFS([1]!DATA[[#This Row],[TYPE]]="Normal",[1]!DATA[[#This Row],[STORAGE DAYS]]*13,[1]!DATA[[#This Row],[TYPE]]="VIP",[1]!DATA[[#This Row],[STORAGE DAYS]]*20)</f>
        <v>1680</v>
      </c>
      <c r="R190" s="11" t="str">
        <f>IF(ISBLANK([1]!DATA[[#This Row],[COLDROOM RECEIPT]]),"IN CUSTODY","DISCHARGED")</f>
        <v>DISCHARGED</v>
      </c>
    </row>
    <row r="191" spans="1:18" ht="19.8">
      <c r="A191" s="1" t="s">
        <v>810</v>
      </c>
      <c r="B191" s="2" t="s">
        <v>811</v>
      </c>
      <c r="C191" s="2">
        <v>65</v>
      </c>
      <c r="D191" s="3" t="s">
        <v>16</v>
      </c>
      <c r="E191" s="3" t="s">
        <v>812</v>
      </c>
      <c r="F191" s="4">
        <v>548315782</v>
      </c>
      <c r="G191" s="3" t="s">
        <v>11</v>
      </c>
      <c r="H191" s="5">
        <v>0.91666666666666663</v>
      </c>
      <c r="I191" s="3" t="s">
        <v>2</v>
      </c>
      <c r="J191" s="6">
        <v>45882</v>
      </c>
      <c r="K191" s="6">
        <v>46080</v>
      </c>
      <c r="L191" s="2">
        <f>IF(ISBLANK([1]!DATA[[#This Row],[DISCHARGE DATE]]),"NO DISCHARGE DATE",[1]!DATA[[#This Row],[DISCHARGE DATE]]-[1]!DATA[[#This Row],[ADMISSION DATE]]+1)</f>
        <v>38</v>
      </c>
      <c r="M191" s="7">
        <v>350</v>
      </c>
      <c r="N191" s="7"/>
      <c r="O191" s="8" t="s">
        <v>739</v>
      </c>
      <c r="P191" s="8"/>
      <c r="Q191" s="10" cm="1">
        <f t="array" ref="Q191">_xlfn.IFS([1]!DATA[[#This Row],[TYPE]]="Normal",[1]!DATA[[#This Row],[STORAGE DAYS]]*13,[1]!DATA[[#This Row],[TYPE]]="VIP",[1]!DATA[[#This Row],[STORAGE DAYS]]*20)</f>
        <v>494</v>
      </c>
      <c r="R191" s="11" t="str">
        <f>IF(ISBLANK([1]!DATA[[#This Row],[COLDROOM RECEIPT]]),"IN CUSTODY","DISCHARGED")</f>
        <v>DISCHARGED</v>
      </c>
    </row>
    <row r="192" spans="1:18" ht="19.8">
      <c r="A192" s="1" t="s">
        <v>813</v>
      </c>
      <c r="B192" s="2" t="s">
        <v>814</v>
      </c>
      <c r="C192" s="2">
        <v>69</v>
      </c>
      <c r="D192" s="3" t="s">
        <v>0</v>
      </c>
      <c r="E192" s="3" t="s">
        <v>815</v>
      </c>
      <c r="F192" s="4">
        <v>245958269</v>
      </c>
      <c r="G192" s="3" t="s">
        <v>1</v>
      </c>
      <c r="H192" s="5">
        <v>6.25E-2</v>
      </c>
      <c r="I192" s="3" t="s">
        <v>145</v>
      </c>
      <c r="J192" s="6">
        <v>45883</v>
      </c>
      <c r="K192" s="6">
        <v>45989</v>
      </c>
      <c r="L192" s="2">
        <f>IF(ISBLANK([1]!DATA[[#This Row],[DISCHARGE DATE]]),"NO DISCHARGE DATE",[1]!DATA[[#This Row],[DISCHARGE DATE]]-[1]!DATA[[#This Row],[ADMISSION DATE]]+1)</f>
        <v>199</v>
      </c>
      <c r="M192" s="7">
        <v>350</v>
      </c>
      <c r="N192" s="7">
        <v>2040</v>
      </c>
      <c r="O192" s="8" t="s">
        <v>628</v>
      </c>
      <c r="P192" s="8" t="s">
        <v>419</v>
      </c>
      <c r="Q192" s="10" cm="1">
        <f t="array" ref="Q192">_xlfn.IFS([1]!DATA[[#This Row],[TYPE]]="Normal",[1]!DATA[[#This Row],[STORAGE DAYS]]*13,[1]!DATA[[#This Row],[TYPE]]="VIP",[1]!DATA[[#This Row],[STORAGE DAYS]]*20)</f>
        <v>2587</v>
      </c>
      <c r="R192" s="11" t="str">
        <f>IF(ISBLANK([1]!DATA[[#This Row],[COLDROOM RECEIPT]]),"IN CUSTODY","DISCHARGED")</f>
        <v>IN CUSTODY</v>
      </c>
    </row>
    <row r="193" spans="1:18" ht="19.8">
      <c r="A193" s="1" t="s">
        <v>816</v>
      </c>
      <c r="B193" s="2" t="s">
        <v>817</v>
      </c>
      <c r="C193" s="2">
        <v>58</v>
      </c>
      <c r="D193" s="3" t="s">
        <v>16</v>
      </c>
      <c r="E193" s="3" t="s">
        <v>818</v>
      </c>
      <c r="F193" s="4">
        <v>241413028</v>
      </c>
      <c r="G193" s="3" t="s">
        <v>1</v>
      </c>
      <c r="H193" s="5">
        <v>0.375</v>
      </c>
      <c r="I193" s="3" t="s">
        <v>145</v>
      </c>
      <c r="J193" s="6">
        <v>45884</v>
      </c>
      <c r="K193" s="6">
        <v>46080</v>
      </c>
      <c r="L193" s="2">
        <f>IF(ISBLANK([1]!DATA[[#This Row],[DISCHARGE DATE]]),"NO DISCHARGE DATE",[1]!DATA[[#This Row],[DISCHARGE DATE]]-[1]!DATA[[#This Row],[ADMISSION DATE]]+1)</f>
        <v>107</v>
      </c>
      <c r="M193" s="7">
        <v>350</v>
      </c>
      <c r="N193" s="7">
        <v>1000</v>
      </c>
      <c r="O193" s="8" t="s">
        <v>682</v>
      </c>
      <c r="P193" s="8"/>
      <c r="Q193" s="10" cm="1">
        <f t="array" ref="Q193">_xlfn.IFS([1]!DATA[[#This Row],[TYPE]]="Normal",[1]!DATA[[#This Row],[STORAGE DAYS]]*13,[1]!DATA[[#This Row],[TYPE]]="VIP",[1]!DATA[[#This Row],[STORAGE DAYS]]*20)</f>
        <v>2140</v>
      </c>
      <c r="R193" s="11" t="str">
        <f>IF(ISBLANK([1]!DATA[[#This Row],[COLDROOM RECEIPT]]),"IN CUSTODY","DISCHARGED")</f>
        <v>DISCHARGED</v>
      </c>
    </row>
    <row r="194" spans="1:18" ht="19.8">
      <c r="A194" s="1" t="s">
        <v>819</v>
      </c>
      <c r="B194" s="2" t="s">
        <v>820</v>
      </c>
      <c r="C194" s="2">
        <v>80</v>
      </c>
      <c r="D194" s="3" t="s">
        <v>0</v>
      </c>
      <c r="E194" s="3" t="s">
        <v>821</v>
      </c>
      <c r="F194" s="4">
        <v>599135006</v>
      </c>
      <c r="G194" s="3" t="s">
        <v>1</v>
      </c>
      <c r="H194" s="5">
        <v>0.875</v>
      </c>
      <c r="I194" s="3" t="s">
        <v>145</v>
      </c>
      <c r="J194" s="6">
        <v>45887</v>
      </c>
      <c r="K194" s="6">
        <v>45961</v>
      </c>
      <c r="L194" s="2">
        <f>IF(ISBLANK([1]!DATA[[#This Row],[DISCHARGE DATE]]),"NO DISCHARGE DATE",[1]!DATA[[#This Row],[DISCHARGE DATE]]-[1]!DATA[[#This Row],[ADMISSION DATE]]+1)</f>
        <v>197</v>
      </c>
      <c r="M194" s="7">
        <v>350</v>
      </c>
      <c r="N194" s="7">
        <v>1500</v>
      </c>
      <c r="O194" s="8" t="s">
        <v>563</v>
      </c>
      <c r="P194" s="8" t="s">
        <v>822</v>
      </c>
      <c r="Q194" s="10" cm="1">
        <f t="array" ref="Q194">_xlfn.IFS([1]!DATA[[#This Row],[TYPE]]="Normal",[1]!DATA[[#This Row],[STORAGE DAYS]]*13,[1]!DATA[[#This Row],[TYPE]]="VIP",[1]!DATA[[#This Row],[STORAGE DAYS]]*20)</f>
        <v>3940</v>
      </c>
      <c r="R194" s="11" t="str">
        <f>IF(ISBLANK([1]!DATA[[#This Row],[COLDROOM RECEIPT]]),"IN CUSTODY","DISCHARGED")</f>
        <v>IN CUSTODY</v>
      </c>
    </row>
    <row r="195" spans="1:18" ht="19.8">
      <c r="A195" s="1" t="s">
        <v>823</v>
      </c>
      <c r="B195" s="2" t="s">
        <v>824</v>
      </c>
      <c r="C195" s="2">
        <v>55</v>
      </c>
      <c r="D195" s="3" t="s">
        <v>0</v>
      </c>
      <c r="E195" s="3" t="s">
        <v>825</v>
      </c>
      <c r="F195" s="4"/>
      <c r="G195" s="3" t="s">
        <v>1</v>
      </c>
      <c r="H195" s="5">
        <v>0.60416666666666663</v>
      </c>
      <c r="I195" s="3" t="s">
        <v>2</v>
      </c>
      <c r="J195" s="6">
        <v>45892</v>
      </c>
      <c r="K195" s="6">
        <v>45933</v>
      </c>
      <c r="L195" s="2">
        <f>IF(ISBLANK([1]!DATA[[#This Row],[DISCHARGE DATE]]),"NO DISCHARGE DATE",[1]!DATA[[#This Row],[DISCHARGE DATE]]-[1]!DATA[[#This Row],[ADMISSION DATE]]+1)</f>
        <v>75</v>
      </c>
      <c r="M195" s="7">
        <v>350</v>
      </c>
      <c r="N195" s="7">
        <v>546</v>
      </c>
      <c r="O195" s="8" t="s">
        <v>790</v>
      </c>
      <c r="P195" s="8" t="s">
        <v>826</v>
      </c>
      <c r="Q195" s="10" cm="1">
        <f t="array" ref="Q195">_xlfn.IFS([1]!DATA[[#This Row],[TYPE]]="Normal",[1]!DATA[[#This Row],[STORAGE DAYS]]*13,[1]!DATA[[#This Row],[TYPE]]="VIP",[1]!DATA[[#This Row],[STORAGE DAYS]]*20)</f>
        <v>1500</v>
      </c>
      <c r="R195" s="11" t="str">
        <f>IF(ISBLANK([1]!DATA[[#This Row],[COLDROOM RECEIPT]]),"IN CUSTODY","DISCHARGED")</f>
        <v>DISCHARGED</v>
      </c>
    </row>
    <row r="196" spans="1:18" ht="19.8">
      <c r="A196" s="1" t="s">
        <v>827</v>
      </c>
      <c r="B196" s="2" t="s">
        <v>828</v>
      </c>
      <c r="C196" s="2">
        <v>32</v>
      </c>
      <c r="D196" s="3" t="s">
        <v>16</v>
      </c>
      <c r="E196" s="3" t="s">
        <v>829</v>
      </c>
      <c r="F196" s="4">
        <v>547716620</v>
      </c>
      <c r="G196" s="3" t="s">
        <v>582</v>
      </c>
      <c r="H196" s="5">
        <v>0.91666666666666663</v>
      </c>
      <c r="I196" s="3" t="s">
        <v>2</v>
      </c>
      <c r="J196" s="6">
        <v>45893</v>
      </c>
      <c r="K196" s="6">
        <v>45989</v>
      </c>
      <c r="L196" s="2">
        <f>IF(ISBLANK([1]!DATA[[#This Row],[DISCHARGE DATE]]),"NO DISCHARGE DATE",[1]!DATA[[#This Row],[DISCHARGE DATE]]-[1]!DATA[[#This Row],[ADMISSION DATE]]+1)</f>
        <v>42</v>
      </c>
      <c r="M196" s="7">
        <v>350</v>
      </c>
      <c r="N196" s="7">
        <v>1161</v>
      </c>
      <c r="O196" s="8" t="s">
        <v>763</v>
      </c>
      <c r="P196" s="8" t="s">
        <v>444</v>
      </c>
      <c r="Q196" s="10" cm="1">
        <f t="array" ref="Q196">_xlfn.IFS([1]!DATA[[#This Row],[TYPE]]="Normal",[1]!DATA[[#This Row],[STORAGE DAYS]]*13,[1]!DATA[[#This Row],[TYPE]]="VIP",[1]!DATA[[#This Row],[STORAGE DAYS]]*20)</f>
        <v>546</v>
      </c>
      <c r="R196" s="11" t="str">
        <f>IF(ISBLANK([1]!DATA[[#This Row],[COLDROOM RECEIPT]]),"IN CUSTODY","DISCHARGED")</f>
        <v>DISCHARGED</v>
      </c>
    </row>
    <row r="197" spans="1:18" ht="19.8">
      <c r="A197" s="1" t="s">
        <v>830</v>
      </c>
      <c r="B197" s="2" t="s">
        <v>831</v>
      </c>
      <c r="C197" s="2">
        <v>67</v>
      </c>
      <c r="D197" s="3" t="s">
        <v>0</v>
      </c>
      <c r="E197" s="3" t="s">
        <v>832</v>
      </c>
      <c r="F197" s="4">
        <v>540702449</v>
      </c>
      <c r="G197" s="3" t="s">
        <v>18</v>
      </c>
      <c r="H197" s="5">
        <v>0.4513888888888889</v>
      </c>
      <c r="I197" s="3" t="s">
        <v>2</v>
      </c>
      <c r="J197" s="6">
        <v>45895</v>
      </c>
      <c r="K197" s="6"/>
      <c r="L197" s="2">
        <f>IF(ISBLANK([1]!DATA[[#This Row],[DISCHARGE DATE]]),"NO DISCHARGE DATE",[1]!DATA[[#This Row],[DISCHARGE DATE]]-[1]!DATA[[#This Row],[ADMISSION DATE]]+1)</f>
        <v>97</v>
      </c>
      <c r="M197" s="7">
        <v>350</v>
      </c>
      <c r="N197" s="7"/>
      <c r="O197" s="8" t="s">
        <v>809</v>
      </c>
      <c r="P197" s="8"/>
      <c r="Q197" s="10" cm="1">
        <f t="array" ref="Q197">_xlfn.IFS([1]!DATA[[#This Row],[TYPE]]="Normal",[1]!DATA[[#This Row],[STORAGE DAYS]]*13,[1]!DATA[[#This Row],[TYPE]]="VIP",[1]!DATA[[#This Row],[STORAGE DAYS]]*20)</f>
        <v>1261</v>
      </c>
      <c r="R197" s="11" t="str">
        <f>IF(ISBLANK([1]!DATA[[#This Row],[COLDROOM RECEIPT]]),"IN CUSTODY","DISCHARGED")</f>
        <v>DISCHARGED</v>
      </c>
    </row>
    <row r="198" spans="1:18" ht="19.8">
      <c r="A198" s="1" t="s">
        <v>833</v>
      </c>
      <c r="B198" s="2" t="s">
        <v>834</v>
      </c>
      <c r="C198" s="2">
        <v>73</v>
      </c>
      <c r="D198" s="3" t="s">
        <v>16</v>
      </c>
      <c r="E198" s="3" t="s">
        <v>835</v>
      </c>
      <c r="F198" s="4">
        <v>248603401</v>
      </c>
      <c r="G198" s="3" t="s">
        <v>1</v>
      </c>
      <c r="H198" s="5">
        <v>0.4513888888888889</v>
      </c>
      <c r="I198" s="3" t="s">
        <v>2</v>
      </c>
      <c r="J198" s="6">
        <v>45895</v>
      </c>
      <c r="K198" s="6"/>
      <c r="L198" s="2" t="str">
        <f>IF(ISBLANK([1]!DATA[[#This Row],[DISCHARGE DATE]]),"NO DISCHARGE DATE",[1]!DATA[[#This Row],[DISCHARGE DATE]]-[1]!DATA[[#This Row],[ADMISSION DATE]]+1)</f>
        <v>NO DISCHARGE DATE</v>
      </c>
      <c r="M198" s="7">
        <v>350</v>
      </c>
      <c r="N198" s="7"/>
      <c r="O198" s="8" t="s">
        <v>656</v>
      </c>
      <c r="P198" s="8"/>
      <c r="Q198" s="10" t="e" cm="1">
        <f t="array" ref="Q198">_xlfn.IFS([1]!DATA[[#This Row],[TYPE]]="Normal",[1]!DATA[[#This Row],[STORAGE DAYS]]*13,[1]!DATA[[#This Row],[TYPE]]="VIP",[1]!DATA[[#This Row],[STORAGE DAYS]]*20)</f>
        <v>#VALUE!</v>
      </c>
      <c r="R198" s="11" t="str">
        <f>IF(ISBLANK([1]!DATA[[#This Row],[COLDROOM RECEIPT]]),"IN CUSTODY","DISCHARGED")</f>
        <v>IN CUSTODY</v>
      </c>
    </row>
    <row r="199" spans="1:18" ht="19.8">
      <c r="A199" s="1" t="s">
        <v>836</v>
      </c>
      <c r="B199" s="2" t="s">
        <v>837</v>
      </c>
      <c r="C199" s="2">
        <v>69</v>
      </c>
      <c r="D199" s="3" t="s">
        <v>0</v>
      </c>
      <c r="E199" s="3" t="s">
        <v>838</v>
      </c>
      <c r="F199" s="4">
        <v>540451151</v>
      </c>
      <c r="G199" s="3" t="s">
        <v>1</v>
      </c>
      <c r="H199" s="5">
        <v>0.85416666666666663</v>
      </c>
      <c r="I199" s="3" t="s">
        <v>2</v>
      </c>
      <c r="J199" s="6">
        <v>45897</v>
      </c>
      <c r="K199" s="6">
        <v>45989</v>
      </c>
      <c r="L199" s="2" t="str">
        <f>IF(ISBLANK([1]!DATA[[#This Row],[DISCHARGE DATE]]),"NO DISCHARGE DATE",[1]!DATA[[#This Row],[DISCHARGE DATE]]-[1]!DATA[[#This Row],[ADMISSION DATE]]+1)</f>
        <v>NO DISCHARGE DATE</v>
      </c>
      <c r="M199" s="7">
        <v>350</v>
      </c>
      <c r="N199" s="7">
        <v>1109</v>
      </c>
      <c r="O199" s="8" t="s">
        <v>578</v>
      </c>
      <c r="P199" s="8" t="s">
        <v>459</v>
      </c>
      <c r="Q199" s="10" t="e" cm="1">
        <f t="array" ref="Q199">_xlfn.IFS([1]!DATA[[#This Row],[TYPE]]="Normal",[1]!DATA[[#This Row],[STORAGE DAYS]]*13,[1]!DATA[[#This Row],[TYPE]]="VIP",[1]!DATA[[#This Row],[STORAGE DAYS]]*20)</f>
        <v>#VALUE!</v>
      </c>
      <c r="R199" s="11" t="str">
        <f>IF(ISBLANK([1]!DATA[[#This Row],[COLDROOM RECEIPT]]),"IN CUSTODY","DISCHARGED")</f>
        <v>IN CUSTODY</v>
      </c>
    </row>
    <row r="200" spans="1:18" ht="19.8">
      <c r="A200" s="1" t="s">
        <v>839</v>
      </c>
      <c r="B200" s="2" t="s">
        <v>840</v>
      </c>
      <c r="C200" s="2">
        <v>87</v>
      </c>
      <c r="D200" s="3" t="s">
        <v>16</v>
      </c>
      <c r="E200" s="3" t="s">
        <v>841</v>
      </c>
      <c r="F200" s="4">
        <v>591038895</v>
      </c>
      <c r="G200" s="3" t="s">
        <v>1</v>
      </c>
      <c r="H200" s="5">
        <v>0</v>
      </c>
      <c r="I200" s="3" t="s">
        <v>145</v>
      </c>
      <c r="J200" s="6">
        <v>45899</v>
      </c>
      <c r="K200" s="6"/>
      <c r="L200" s="2">
        <f>IF(ISBLANK([1]!DATA[[#This Row],[DISCHARGE DATE]]),"NO DISCHARGE DATE",[1]!DATA[[#This Row],[DISCHARGE DATE]]-[1]!DATA[[#This Row],[ADMISSION DATE]]+1)</f>
        <v>93</v>
      </c>
      <c r="M200" s="7">
        <v>350</v>
      </c>
      <c r="N200" s="7"/>
      <c r="O200" s="8" t="s">
        <v>701</v>
      </c>
      <c r="P200" s="8"/>
      <c r="Q200" s="10" cm="1">
        <f t="array" ref="Q200">_xlfn.IFS([1]!DATA[[#This Row],[TYPE]]="Normal",[1]!DATA[[#This Row],[STORAGE DAYS]]*13,[1]!DATA[[#This Row],[TYPE]]="VIP",[1]!DATA[[#This Row],[STORAGE DAYS]]*20)</f>
        <v>1209</v>
      </c>
      <c r="R200" s="11" t="str">
        <f>IF(ISBLANK([1]!DATA[[#This Row],[COLDROOM RECEIPT]]),"IN CUSTODY","DISCHARGED")</f>
        <v>DISCHARGED</v>
      </c>
    </row>
    <row r="201" spans="1:18" ht="19.8">
      <c r="A201" s="1" t="s">
        <v>842</v>
      </c>
      <c r="B201" s="2" t="s">
        <v>843</v>
      </c>
      <c r="C201" s="2">
        <v>78</v>
      </c>
      <c r="D201" s="3" t="s">
        <v>0</v>
      </c>
      <c r="E201" s="3" t="s">
        <v>844</v>
      </c>
      <c r="F201" s="4">
        <v>553660455</v>
      </c>
      <c r="G201" s="3" t="s">
        <v>1</v>
      </c>
      <c r="H201" s="5">
        <v>0.60416666666666663</v>
      </c>
      <c r="I201" s="3" t="s">
        <v>145</v>
      </c>
      <c r="J201" s="6">
        <v>45901</v>
      </c>
      <c r="K201" s="6">
        <v>45989</v>
      </c>
      <c r="L201" s="2" t="str">
        <f>IF(ISBLANK([1]!DATA[[#This Row],[DISCHARGE DATE]]),"NO DISCHARGE DATE",[1]!DATA[[#This Row],[DISCHARGE DATE]]-[1]!DATA[[#This Row],[ADMISSION DATE]]+1)</f>
        <v>NO DISCHARGE DATE</v>
      </c>
      <c r="M201" s="7">
        <v>350</v>
      </c>
      <c r="N201" s="7">
        <v>1680</v>
      </c>
      <c r="O201" s="8" t="s">
        <v>717</v>
      </c>
      <c r="P201" s="8" t="s">
        <v>428</v>
      </c>
      <c r="Q201" s="10" t="e" cm="1">
        <f t="array" ref="Q201">_xlfn.IFS([1]!DATA[[#This Row],[TYPE]]="Normal",[1]!DATA[[#This Row],[STORAGE DAYS]]*13,[1]!DATA[[#This Row],[TYPE]]="VIP",[1]!DATA[[#This Row],[STORAGE DAYS]]*20)</f>
        <v>#VALUE!</v>
      </c>
      <c r="R201" s="11" t="str">
        <f>IF(ISBLANK([1]!DATA[[#This Row],[COLDROOM RECEIPT]]),"IN CUSTODY","DISCHARGED")</f>
        <v>IN CUSTODY</v>
      </c>
    </row>
    <row r="202" spans="1:18" ht="19.8">
      <c r="A202" s="1" t="s">
        <v>845</v>
      </c>
      <c r="B202" s="2" t="s">
        <v>846</v>
      </c>
      <c r="C202" s="2">
        <v>57</v>
      </c>
      <c r="D202" s="3" t="s">
        <v>0</v>
      </c>
      <c r="E202" s="3" t="s">
        <v>187</v>
      </c>
      <c r="F202" s="4" t="s">
        <v>847</v>
      </c>
      <c r="G202" s="3" t="s">
        <v>11</v>
      </c>
      <c r="H202" s="5">
        <v>0.44791666666666669</v>
      </c>
      <c r="I202" s="3" t="s">
        <v>2</v>
      </c>
      <c r="J202" s="6">
        <v>45902</v>
      </c>
      <c r="K202" s="6">
        <v>45989</v>
      </c>
      <c r="L202" s="2">
        <f>IF(ISBLANK([1]!DATA[[#This Row],[DISCHARGE DATE]]),"NO DISCHARGE DATE",[1]!DATA[[#This Row],[DISCHARGE DATE]]-[1]!DATA[[#This Row],[ADMISSION DATE]]+1)</f>
        <v>89</v>
      </c>
      <c r="M202" s="7">
        <v>350</v>
      </c>
      <c r="N202" s="7">
        <v>1144</v>
      </c>
      <c r="O202" s="8" t="s">
        <v>664</v>
      </c>
      <c r="P202" s="8" t="s">
        <v>848</v>
      </c>
      <c r="Q202" s="10" cm="1">
        <f t="array" ref="Q202">_xlfn.IFS([1]!DATA[[#This Row],[TYPE]]="Normal",[1]!DATA[[#This Row],[STORAGE DAYS]]*13,[1]!DATA[[#This Row],[TYPE]]="VIP",[1]!DATA[[#This Row],[STORAGE DAYS]]*20)</f>
        <v>1780</v>
      </c>
      <c r="R202" s="11" t="str">
        <f>IF(ISBLANK([1]!DATA[[#This Row],[COLDROOM RECEIPT]]),"IN CUSTODY","DISCHARGED")</f>
        <v>DISCHARGED</v>
      </c>
    </row>
    <row r="203" spans="1:18" ht="19.8">
      <c r="A203" s="1" t="s">
        <v>849</v>
      </c>
      <c r="B203" s="2" t="s">
        <v>850</v>
      </c>
      <c r="C203" s="2">
        <v>60</v>
      </c>
      <c r="D203" s="3" t="s">
        <v>0</v>
      </c>
      <c r="E203" s="3" t="s">
        <v>851</v>
      </c>
      <c r="F203" s="4" t="s">
        <v>852</v>
      </c>
      <c r="G203" s="3" t="s">
        <v>853</v>
      </c>
      <c r="H203" s="5" t="s">
        <v>854</v>
      </c>
      <c r="I203" s="3" t="s">
        <v>2</v>
      </c>
      <c r="J203" s="6">
        <v>45903</v>
      </c>
      <c r="K203" s="6">
        <v>45954</v>
      </c>
      <c r="L203" s="2">
        <f>IF(ISBLANK([1]!DATA[[#This Row],[DISCHARGE DATE]]),"NO DISCHARGE DATE",[1]!DATA[[#This Row],[DISCHARGE DATE]]-[1]!DATA[[#This Row],[ADMISSION DATE]]+1)</f>
        <v>88</v>
      </c>
      <c r="M203" s="7">
        <v>350</v>
      </c>
      <c r="N203" s="7">
        <v>676</v>
      </c>
      <c r="O203" s="8" t="s">
        <v>650</v>
      </c>
      <c r="P203" s="8" t="s">
        <v>855</v>
      </c>
      <c r="Q203" s="10" cm="1">
        <f t="array" ref="Q203">_xlfn.IFS([1]!DATA[[#This Row],[TYPE]]="Normal",[1]!DATA[[#This Row],[STORAGE DAYS]]*13,[1]!DATA[[#This Row],[TYPE]]="VIP",[1]!DATA[[#This Row],[STORAGE DAYS]]*20)</f>
        <v>1144</v>
      </c>
      <c r="R203" s="11" t="str">
        <f>IF(ISBLANK([1]!DATA[[#This Row],[COLDROOM RECEIPT]]),"IN CUSTODY","DISCHARGED")</f>
        <v>DISCHARGED</v>
      </c>
    </row>
    <row r="204" spans="1:18" ht="19.8">
      <c r="A204" s="1" t="s">
        <v>856</v>
      </c>
      <c r="B204" s="2" t="s">
        <v>857</v>
      </c>
      <c r="C204" s="2">
        <v>87</v>
      </c>
      <c r="D204" s="3" t="s">
        <v>0</v>
      </c>
      <c r="E204" s="3" t="s">
        <v>858</v>
      </c>
      <c r="F204" s="4" t="s">
        <v>859</v>
      </c>
      <c r="G204" s="3" t="s">
        <v>200</v>
      </c>
      <c r="H204" s="5" t="s">
        <v>860</v>
      </c>
      <c r="I204" s="3" t="s">
        <v>2</v>
      </c>
      <c r="J204" s="6">
        <v>45904</v>
      </c>
      <c r="K204" s="6"/>
      <c r="L204" s="2">
        <f>IF(ISBLANK([1]!DATA[[#This Row],[DISCHARGE DATE]]),"NO DISCHARGE DATE",[1]!DATA[[#This Row],[DISCHARGE DATE]]-[1]!DATA[[#This Row],[ADMISSION DATE]]+1)</f>
        <v>52</v>
      </c>
      <c r="M204" s="7">
        <v>350</v>
      </c>
      <c r="N204" s="7"/>
      <c r="O204" s="8" t="s">
        <v>861</v>
      </c>
      <c r="P204" s="8"/>
      <c r="Q204" s="10" cm="1">
        <f t="array" ref="Q204">_xlfn.IFS([1]!DATA[[#This Row],[TYPE]]="Normal",[1]!DATA[[#This Row],[STORAGE DAYS]]*13,[1]!DATA[[#This Row],[TYPE]]="VIP",[1]!DATA[[#This Row],[STORAGE DAYS]]*20)</f>
        <v>676</v>
      </c>
      <c r="R204" s="11" t="str">
        <f>IF(ISBLANK([1]!DATA[[#This Row],[COLDROOM RECEIPT]]),"IN CUSTODY","DISCHARGED")</f>
        <v>DISCHARGED</v>
      </c>
    </row>
    <row r="205" spans="1:18" ht="19.8">
      <c r="A205" s="1" t="s">
        <v>862</v>
      </c>
      <c r="B205" s="2" t="s">
        <v>863</v>
      </c>
      <c r="C205" s="2">
        <v>87</v>
      </c>
      <c r="D205" s="3" t="s">
        <v>16</v>
      </c>
      <c r="E205" s="3" t="s">
        <v>864</v>
      </c>
      <c r="F205" s="4" t="s">
        <v>865</v>
      </c>
      <c r="G205" s="3" t="s">
        <v>1</v>
      </c>
      <c r="H205" s="5" t="s">
        <v>866</v>
      </c>
      <c r="I205" s="3" t="s">
        <v>145</v>
      </c>
      <c r="J205" s="6">
        <v>45905</v>
      </c>
      <c r="K205" s="6">
        <v>46108</v>
      </c>
      <c r="L205" s="2" t="str">
        <f>IF(ISBLANK([1]!DATA[[#This Row],[DISCHARGE DATE]]),"NO DISCHARGE DATE",[1]!DATA[[#This Row],[DISCHARGE DATE]]-[1]!DATA[[#This Row],[ADMISSION DATE]]+1)</f>
        <v>NO DISCHARGE DATE</v>
      </c>
      <c r="M205" s="7">
        <v>350</v>
      </c>
      <c r="N205" s="7">
        <v>3000</v>
      </c>
      <c r="O205" s="8" t="s">
        <v>646</v>
      </c>
      <c r="P205" s="8"/>
      <c r="Q205" s="10" t="e" cm="1">
        <f t="array" ref="Q205">_xlfn.IFS([1]!DATA[[#This Row],[TYPE]]="Normal",[1]!DATA[[#This Row],[STORAGE DAYS]]*13,[1]!DATA[[#This Row],[TYPE]]="VIP",[1]!DATA[[#This Row],[STORAGE DAYS]]*20)</f>
        <v>#VALUE!</v>
      </c>
      <c r="R205" s="11" t="str">
        <f>IF(ISBLANK([1]!DATA[[#This Row],[COLDROOM RECEIPT]]),"IN CUSTODY","DISCHARGED")</f>
        <v>IN CUSTODY</v>
      </c>
    </row>
    <row r="206" spans="1:18" ht="19.8">
      <c r="A206" s="1" t="s">
        <v>867</v>
      </c>
      <c r="B206" s="2" t="s">
        <v>868</v>
      </c>
      <c r="C206" s="2">
        <v>47</v>
      </c>
      <c r="D206" s="3" t="s">
        <v>0</v>
      </c>
      <c r="E206" s="3" t="s">
        <v>869</v>
      </c>
      <c r="F206" s="4" t="s">
        <v>870</v>
      </c>
      <c r="G206" s="3" t="s">
        <v>1</v>
      </c>
      <c r="H206" s="5">
        <v>0.74097222222222225</v>
      </c>
      <c r="I206" s="3" t="s">
        <v>2</v>
      </c>
      <c r="J206" s="6">
        <v>45908</v>
      </c>
      <c r="K206" s="6">
        <v>45933</v>
      </c>
      <c r="L206" s="2">
        <f>IF(ISBLANK([1]!DATA[[#This Row],[DISCHARGE DATE]]),"NO DISCHARGE DATE",[1]!DATA[[#This Row],[DISCHARGE DATE]]-[1]!DATA[[#This Row],[ADMISSION DATE]]+1)</f>
        <v>204</v>
      </c>
      <c r="M206" s="7">
        <v>350</v>
      </c>
      <c r="N206" s="7">
        <v>338</v>
      </c>
      <c r="O206" s="8" t="s">
        <v>729</v>
      </c>
      <c r="P206" s="8" t="s">
        <v>861</v>
      </c>
      <c r="Q206" s="10" cm="1">
        <f t="array" ref="Q206">_xlfn.IFS([1]!DATA[[#This Row],[TYPE]]="Normal",[1]!DATA[[#This Row],[STORAGE DAYS]]*13,[1]!DATA[[#This Row],[TYPE]]="VIP",[1]!DATA[[#This Row],[STORAGE DAYS]]*20)</f>
        <v>4080</v>
      </c>
      <c r="R206" s="11" t="str">
        <f>IF(ISBLANK([1]!DATA[[#This Row],[COLDROOM RECEIPT]]),"IN CUSTODY","DISCHARGED")</f>
        <v>IN CUSTODY</v>
      </c>
    </row>
    <row r="207" spans="1:18" ht="19.8">
      <c r="A207" s="1" t="s">
        <v>871</v>
      </c>
      <c r="B207" s="2" t="s">
        <v>872</v>
      </c>
      <c r="C207" s="2">
        <v>64</v>
      </c>
      <c r="D207" s="3" t="s">
        <v>16</v>
      </c>
      <c r="E207" s="3" t="s">
        <v>873</v>
      </c>
      <c r="F207" s="4" t="s">
        <v>874</v>
      </c>
      <c r="G207" s="3" t="s">
        <v>64</v>
      </c>
      <c r="H207" s="5" t="s">
        <v>875</v>
      </c>
      <c r="I207" s="3" t="s">
        <v>2</v>
      </c>
      <c r="J207" s="6">
        <v>45910</v>
      </c>
      <c r="K207" s="6">
        <v>45989</v>
      </c>
      <c r="L207" s="2">
        <f>IF(ISBLANK([1]!DATA[[#This Row],[DISCHARGE DATE]]),"NO DISCHARGE DATE",[1]!DATA[[#This Row],[DISCHARGE DATE]]-[1]!DATA[[#This Row],[ADMISSION DATE]]+1)</f>
        <v>26</v>
      </c>
      <c r="M207" s="7">
        <v>350</v>
      </c>
      <c r="N207" s="7">
        <v>1040</v>
      </c>
      <c r="O207" s="8" t="s">
        <v>750</v>
      </c>
      <c r="P207" s="8" t="s">
        <v>439</v>
      </c>
      <c r="Q207" s="10" cm="1">
        <f t="array" ref="Q207">_xlfn.IFS([1]!DATA[[#This Row],[TYPE]]="Normal",[1]!DATA[[#This Row],[STORAGE DAYS]]*13,[1]!DATA[[#This Row],[TYPE]]="VIP",[1]!DATA[[#This Row],[STORAGE DAYS]]*20)</f>
        <v>338</v>
      </c>
      <c r="R207" s="11" t="str">
        <f>IF(ISBLANK([1]!DATA[[#This Row],[COLDROOM RECEIPT]]),"IN CUSTODY","DISCHARGED")</f>
        <v>DISCHARGED</v>
      </c>
    </row>
    <row r="208" spans="1:18" ht="19.8">
      <c r="A208" s="1" t="s">
        <v>876</v>
      </c>
      <c r="B208" s="2" t="s">
        <v>877</v>
      </c>
      <c r="C208" s="2">
        <v>59</v>
      </c>
      <c r="D208" s="3" t="s">
        <v>0</v>
      </c>
      <c r="E208" s="3" t="s">
        <v>878</v>
      </c>
      <c r="F208" s="4" t="s">
        <v>879</v>
      </c>
      <c r="G208" s="3" t="s">
        <v>1</v>
      </c>
      <c r="H208" s="5" t="s">
        <v>880</v>
      </c>
      <c r="I208" s="3" t="s">
        <v>2</v>
      </c>
      <c r="J208" s="6">
        <v>45911</v>
      </c>
      <c r="K208" s="6">
        <v>45961</v>
      </c>
      <c r="L208" s="2">
        <f>IF(ISBLANK([1]!DATA[[#This Row],[DISCHARGE DATE]]),"NO DISCHARGE DATE",[1]!DATA[[#This Row],[DISCHARGE DATE]]-[1]!DATA[[#This Row],[ADMISSION DATE]]+1)</f>
        <v>80</v>
      </c>
      <c r="M208" s="7">
        <v>350</v>
      </c>
      <c r="N208" s="7">
        <v>663</v>
      </c>
      <c r="O208" s="8" t="s">
        <v>826</v>
      </c>
      <c r="P208" s="8" t="s">
        <v>881</v>
      </c>
      <c r="Q208" s="10" cm="1">
        <f t="array" ref="Q208">_xlfn.IFS([1]!DATA[[#This Row],[TYPE]]="Normal",[1]!DATA[[#This Row],[STORAGE DAYS]]*13,[1]!DATA[[#This Row],[TYPE]]="VIP",[1]!DATA[[#This Row],[STORAGE DAYS]]*20)</f>
        <v>1040</v>
      </c>
      <c r="R208" s="11" t="str">
        <f>IF(ISBLANK([1]!DATA[[#This Row],[COLDROOM RECEIPT]]),"IN CUSTODY","DISCHARGED")</f>
        <v>DISCHARGED</v>
      </c>
    </row>
    <row r="209" spans="1:18" ht="19.8">
      <c r="A209" s="1" t="s">
        <v>882</v>
      </c>
      <c r="B209" s="2" t="s">
        <v>883</v>
      </c>
      <c r="C209" s="2">
        <v>54</v>
      </c>
      <c r="D209" s="3" t="s">
        <v>0</v>
      </c>
      <c r="E209" s="3" t="s">
        <v>884</v>
      </c>
      <c r="F209" s="4" t="s">
        <v>885</v>
      </c>
      <c r="G209" s="3" t="s">
        <v>1</v>
      </c>
      <c r="H209" s="5" t="s">
        <v>886</v>
      </c>
      <c r="I209" s="3" t="s">
        <v>2</v>
      </c>
      <c r="J209" s="6">
        <v>45912</v>
      </c>
      <c r="K209" s="6">
        <v>45989</v>
      </c>
      <c r="L209" s="2">
        <f>IF(ISBLANK([1]!DATA[[#This Row],[DISCHARGE DATE]]),"NO DISCHARGE DATE",[1]!DATA[[#This Row],[DISCHARGE DATE]]-[1]!DATA[[#This Row],[ADMISSION DATE]]+1)</f>
        <v>51</v>
      </c>
      <c r="M209" s="7">
        <v>350</v>
      </c>
      <c r="N209" s="7">
        <v>1014</v>
      </c>
      <c r="O209" s="8" t="s">
        <v>759</v>
      </c>
      <c r="P209" s="8" t="s">
        <v>477</v>
      </c>
      <c r="Q209" s="10" cm="1">
        <f t="array" ref="Q209">_xlfn.IFS([1]!DATA[[#This Row],[TYPE]]="Normal",[1]!DATA[[#This Row],[STORAGE DAYS]]*13,[1]!DATA[[#This Row],[TYPE]]="VIP",[1]!DATA[[#This Row],[STORAGE DAYS]]*20)</f>
        <v>663</v>
      </c>
      <c r="R209" s="11" t="str">
        <f>IF(ISBLANK([1]!DATA[[#This Row],[COLDROOM RECEIPT]]),"IN CUSTODY","DISCHARGED")</f>
        <v>DISCHARGED</v>
      </c>
    </row>
    <row r="210" spans="1:18" ht="19.8">
      <c r="A210" s="1" t="s">
        <v>887</v>
      </c>
      <c r="B210" s="2" t="s">
        <v>888</v>
      </c>
      <c r="C210" s="2">
        <v>40</v>
      </c>
      <c r="D210" s="3" t="s">
        <v>0</v>
      </c>
      <c r="E210" s="3" t="s">
        <v>889</v>
      </c>
      <c r="F210" s="4" t="s">
        <v>890</v>
      </c>
      <c r="G210" s="3" t="s">
        <v>64</v>
      </c>
      <c r="H210" s="5" t="s">
        <v>891</v>
      </c>
      <c r="I210" s="3" t="s">
        <v>2</v>
      </c>
      <c r="J210" s="6">
        <v>45914</v>
      </c>
      <c r="K210" s="6">
        <v>45989</v>
      </c>
      <c r="L210" s="2">
        <f>IF(ISBLANK([1]!DATA[[#This Row],[DISCHARGE DATE]]),"NO DISCHARGE DATE",[1]!DATA[[#This Row],[DISCHARGE DATE]]-[1]!DATA[[#This Row],[ADMISSION DATE]]+1)</f>
        <v>78</v>
      </c>
      <c r="M210" s="7">
        <v>350</v>
      </c>
      <c r="N210" s="7">
        <v>988</v>
      </c>
      <c r="O210" s="8" t="s">
        <v>754</v>
      </c>
      <c r="P210" s="8" t="s">
        <v>892</v>
      </c>
      <c r="Q210" s="10" cm="1">
        <f t="array" ref="Q210">_xlfn.IFS([1]!DATA[[#This Row],[TYPE]]="Normal",[1]!DATA[[#This Row],[STORAGE DAYS]]*13,[1]!DATA[[#This Row],[TYPE]]="VIP",[1]!DATA[[#This Row],[STORAGE DAYS]]*20)</f>
        <v>1014</v>
      </c>
      <c r="R210" s="11" t="str">
        <f>IF(ISBLANK([1]!DATA[[#This Row],[COLDROOM RECEIPT]]),"IN CUSTODY","DISCHARGED")</f>
        <v>DISCHARGED</v>
      </c>
    </row>
    <row r="211" spans="1:18" ht="19.8">
      <c r="A211" s="1" t="s">
        <v>893</v>
      </c>
      <c r="B211" s="2" t="s">
        <v>894</v>
      </c>
      <c r="C211" s="2">
        <v>27</v>
      </c>
      <c r="D211" s="3" t="s">
        <v>0</v>
      </c>
      <c r="E211" s="3" t="s">
        <v>895</v>
      </c>
      <c r="F211" s="4" t="s">
        <v>896</v>
      </c>
      <c r="G211" s="3" t="s">
        <v>582</v>
      </c>
      <c r="H211" s="5">
        <v>0.43055555555555558</v>
      </c>
      <c r="I211" s="3" t="s">
        <v>145</v>
      </c>
      <c r="J211" s="6">
        <v>45915</v>
      </c>
      <c r="K211" s="6">
        <v>45920</v>
      </c>
      <c r="L211" s="2">
        <f>IF(ISBLANK([1]!DATA[[#This Row],[DISCHARGE DATE]]),"NO DISCHARGE DATE",[1]!DATA[[#This Row],[DISCHARGE DATE]]-[1]!DATA[[#This Row],[ADMISSION DATE]]+1)</f>
        <v>76</v>
      </c>
      <c r="M211" s="7">
        <v>350</v>
      </c>
      <c r="N211" s="7">
        <v>120</v>
      </c>
      <c r="O211" s="8" t="s">
        <v>800</v>
      </c>
      <c r="P211" s="8" t="s">
        <v>897</v>
      </c>
      <c r="Q211" s="10" cm="1">
        <f t="array" ref="Q211">_xlfn.IFS([1]!DATA[[#This Row],[TYPE]]="Normal",[1]!DATA[[#This Row],[STORAGE DAYS]]*13,[1]!DATA[[#This Row],[TYPE]]="VIP",[1]!DATA[[#This Row],[STORAGE DAYS]]*20)</f>
        <v>988</v>
      </c>
      <c r="R211" s="11" t="str">
        <f>IF(ISBLANK([1]!DATA[[#This Row],[COLDROOM RECEIPT]]),"IN CUSTODY","DISCHARGED")</f>
        <v>DISCHARGED</v>
      </c>
    </row>
    <row r="212" spans="1:18" ht="19.8">
      <c r="A212" s="1" t="s">
        <v>898</v>
      </c>
      <c r="B212" s="2" t="s">
        <v>899</v>
      </c>
      <c r="C212" s="2">
        <v>93</v>
      </c>
      <c r="D212" s="3" t="s">
        <v>0</v>
      </c>
      <c r="E212" s="3" t="s">
        <v>900</v>
      </c>
      <c r="F212" s="4" t="s">
        <v>901</v>
      </c>
      <c r="G212" s="3" t="s">
        <v>11</v>
      </c>
      <c r="H212" s="5" t="s">
        <v>902</v>
      </c>
      <c r="I212" s="3" t="s">
        <v>2</v>
      </c>
      <c r="J212" s="6">
        <v>45923</v>
      </c>
      <c r="K212" s="6"/>
      <c r="L212" s="2">
        <f>IF(ISBLANK([1]!DATA[[#This Row],[DISCHARGE DATE]]),"NO DISCHARGE DATE",[1]!DATA[[#This Row],[DISCHARGE DATE]]-[1]!DATA[[#This Row],[ADMISSION DATE]]+1)</f>
        <v>6</v>
      </c>
      <c r="M212" s="7">
        <v>350</v>
      </c>
      <c r="N212" s="7"/>
      <c r="O212" s="8" t="s">
        <v>725</v>
      </c>
      <c r="P212" s="8"/>
      <c r="Q212" s="10" cm="1">
        <f t="array" ref="Q212">_xlfn.IFS([1]!DATA[[#This Row],[TYPE]]="Normal",[1]!DATA[[#This Row],[STORAGE DAYS]]*13,[1]!DATA[[#This Row],[TYPE]]="VIP",[1]!DATA[[#This Row],[STORAGE DAYS]]*20)</f>
        <v>120</v>
      </c>
      <c r="R212" s="11" t="str">
        <f>IF(ISBLANK([1]!DATA[[#This Row],[COLDROOM RECEIPT]]),"IN CUSTODY","DISCHARGED")</f>
        <v>DISCHARGED</v>
      </c>
    </row>
    <row r="213" spans="1:18" ht="19.8">
      <c r="A213" s="1" t="s">
        <v>903</v>
      </c>
      <c r="B213" s="2" t="s">
        <v>904</v>
      </c>
      <c r="C213" s="2">
        <v>43</v>
      </c>
      <c r="D213" s="3" t="s">
        <v>0</v>
      </c>
      <c r="E213" s="3" t="s">
        <v>905</v>
      </c>
      <c r="F213" s="4" t="s">
        <v>906</v>
      </c>
      <c r="G213" s="3" t="s">
        <v>18</v>
      </c>
      <c r="H213" s="5" t="s">
        <v>886</v>
      </c>
      <c r="I213" s="3" t="s">
        <v>2</v>
      </c>
      <c r="J213" s="6">
        <v>45925</v>
      </c>
      <c r="K213" s="6">
        <v>45961</v>
      </c>
      <c r="L213" s="2" t="str">
        <f>IF(ISBLANK([1]!DATA[[#This Row],[DISCHARGE DATE]]),"NO DISCHARGE DATE",[1]!DATA[[#This Row],[DISCHARGE DATE]]-[1]!DATA[[#This Row],[ADMISSION DATE]]+1)</f>
        <v>NO DISCHARGE DATE</v>
      </c>
      <c r="M213" s="7">
        <v>350</v>
      </c>
      <c r="N213" s="7">
        <v>481</v>
      </c>
      <c r="O213" s="8" t="s">
        <v>410</v>
      </c>
      <c r="P213" s="8" t="s">
        <v>907</v>
      </c>
      <c r="Q213" s="10" t="e" cm="1">
        <f t="array" ref="Q213">_xlfn.IFS([1]!DATA[[#This Row],[TYPE]]="Normal",[1]!DATA[[#This Row],[STORAGE DAYS]]*13,[1]!DATA[[#This Row],[TYPE]]="VIP",[1]!DATA[[#This Row],[STORAGE DAYS]]*20)</f>
        <v>#VALUE!</v>
      </c>
      <c r="R213" s="11" t="str">
        <f>IF(ISBLANK([1]!DATA[[#This Row],[COLDROOM RECEIPT]]),"IN CUSTODY","DISCHARGED")</f>
        <v>IN CUSTODY</v>
      </c>
    </row>
    <row r="214" spans="1:18" ht="19.8">
      <c r="A214" s="1" t="s">
        <v>908</v>
      </c>
      <c r="B214" s="2" t="s">
        <v>909</v>
      </c>
      <c r="C214" s="2">
        <v>38</v>
      </c>
      <c r="D214" s="3" t="s">
        <v>0</v>
      </c>
      <c r="E214" s="3" t="s">
        <v>910</v>
      </c>
      <c r="F214" s="4" t="s">
        <v>911</v>
      </c>
      <c r="G214" s="3" t="s">
        <v>1</v>
      </c>
      <c r="H214" s="5" t="s">
        <v>912</v>
      </c>
      <c r="I214" s="3" t="s">
        <v>2</v>
      </c>
      <c r="J214" s="6">
        <v>45925</v>
      </c>
      <c r="K214" s="6">
        <v>45998</v>
      </c>
      <c r="L214" s="2">
        <f>IF(ISBLANK([1]!DATA[[#This Row],[DISCHARGE DATE]]),"NO DISCHARGE DATE",[1]!DATA[[#This Row],[DISCHARGE DATE]]-[1]!DATA[[#This Row],[ADMISSION DATE]]+1)</f>
        <v>37</v>
      </c>
      <c r="M214" s="7">
        <v>350</v>
      </c>
      <c r="N214" s="7">
        <v>962</v>
      </c>
      <c r="O214" s="8" t="s">
        <v>713</v>
      </c>
      <c r="P214" s="8" t="s">
        <v>493</v>
      </c>
      <c r="Q214" s="10" cm="1">
        <f t="array" ref="Q214">_xlfn.IFS([1]!DATA[[#This Row],[TYPE]]="Normal",[1]!DATA[[#This Row],[STORAGE DAYS]]*13,[1]!DATA[[#This Row],[TYPE]]="VIP",[1]!DATA[[#This Row],[STORAGE DAYS]]*20)</f>
        <v>481</v>
      </c>
      <c r="R214" s="11" t="str">
        <f>IF(ISBLANK([1]!DATA[[#This Row],[COLDROOM RECEIPT]]),"IN CUSTODY","DISCHARGED")</f>
        <v>DISCHARGED</v>
      </c>
    </row>
    <row r="215" spans="1:18" ht="19.8">
      <c r="A215" s="1" t="s">
        <v>913</v>
      </c>
      <c r="B215" s="2" t="s">
        <v>914</v>
      </c>
      <c r="C215" s="2">
        <v>75</v>
      </c>
      <c r="D215" s="3" t="s">
        <v>0</v>
      </c>
      <c r="E215" s="3" t="s">
        <v>915</v>
      </c>
      <c r="F215" s="4" t="s">
        <v>916</v>
      </c>
      <c r="G215" s="3" t="s">
        <v>1</v>
      </c>
      <c r="H215" s="5" t="s">
        <v>917</v>
      </c>
      <c r="I215" s="3" t="s">
        <v>2</v>
      </c>
      <c r="J215" s="6">
        <v>45927</v>
      </c>
      <c r="K215" s="6">
        <v>46108</v>
      </c>
      <c r="L215" s="2">
        <f>IF(ISBLANK([1]!DATA[[#This Row],[DISCHARGE DATE]]),"NO DISCHARGE DATE",[1]!DATA[[#This Row],[DISCHARGE DATE]]-[1]!DATA[[#This Row],[ADMISSION DATE]]+1)</f>
        <v>74</v>
      </c>
      <c r="M215" s="7">
        <v>350</v>
      </c>
      <c r="N215" s="7"/>
      <c r="O215" s="8" t="s">
        <v>855</v>
      </c>
      <c r="P215" s="8"/>
      <c r="Q215" s="10" cm="1">
        <f t="array" ref="Q215">_xlfn.IFS([1]!DATA[[#This Row],[TYPE]]="Normal",[1]!DATA[[#This Row],[STORAGE DAYS]]*13,[1]!DATA[[#This Row],[TYPE]]="VIP",[1]!DATA[[#This Row],[STORAGE DAYS]]*20)</f>
        <v>962</v>
      </c>
      <c r="R215" s="11" t="str">
        <f>IF(ISBLANK([1]!DATA[[#This Row],[COLDROOM RECEIPT]]),"IN CUSTODY","DISCHARGED")</f>
        <v>DISCHARGED</v>
      </c>
    </row>
    <row r="216" spans="1:18" ht="19.8">
      <c r="A216" s="1" t="s">
        <v>918</v>
      </c>
      <c r="B216" s="2" t="s">
        <v>919</v>
      </c>
      <c r="C216" s="2">
        <v>57</v>
      </c>
      <c r="D216" s="3" t="s">
        <v>0</v>
      </c>
      <c r="E216" s="3" t="s">
        <v>920</v>
      </c>
      <c r="F216" s="4" t="s">
        <v>921</v>
      </c>
      <c r="G216" s="3" t="s">
        <v>18</v>
      </c>
      <c r="H216" s="5" t="s">
        <v>922</v>
      </c>
      <c r="I216" s="3" t="s">
        <v>2</v>
      </c>
      <c r="J216" s="6">
        <v>45932</v>
      </c>
      <c r="K216" s="6"/>
      <c r="L216" s="2">
        <f>IF(ISBLANK([1]!DATA[[#This Row],[DISCHARGE DATE]]),"NO DISCHARGE DATE",[1]!DATA[[#This Row],[DISCHARGE DATE]]-[1]!DATA[[#This Row],[ADMISSION DATE]]+1)</f>
        <v>182</v>
      </c>
      <c r="M216" s="7">
        <v>350</v>
      </c>
      <c r="N216" s="7"/>
      <c r="O216" s="8" t="s">
        <v>775</v>
      </c>
      <c r="P216" s="8"/>
      <c r="Q216" s="10" cm="1">
        <f t="array" ref="Q216">_xlfn.IFS([1]!DATA[[#This Row],[TYPE]]="Normal",[1]!DATA[[#This Row],[STORAGE DAYS]]*13,[1]!DATA[[#This Row],[TYPE]]="VIP",[1]!DATA[[#This Row],[STORAGE DAYS]]*20)</f>
        <v>2366</v>
      </c>
      <c r="R216" s="11" t="str">
        <f>IF(ISBLANK([1]!DATA[[#This Row],[COLDROOM RECEIPT]]),"IN CUSTODY","DISCHARGED")</f>
        <v>IN CUSTODY</v>
      </c>
    </row>
    <row r="217" spans="1:18" ht="19.8">
      <c r="A217" s="1" t="s">
        <v>923</v>
      </c>
      <c r="B217" s="2" t="s">
        <v>924</v>
      </c>
      <c r="C217" s="2">
        <v>70</v>
      </c>
      <c r="D217" s="3" t="s">
        <v>16</v>
      </c>
      <c r="E217" s="3" t="s">
        <v>925</v>
      </c>
      <c r="F217" s="4" t="s">
        <v>926</v>
      </c>
      <c r="G217" s="3" t="s">
        <v>1</v>
      </c>
      <c r="H217" s="5" t="s">
        <v>927</v>
      </c>
      <c r="I217" s="3" t="s">
        <v>145</v>
      </c>
      <c r="J217" s="6">
        <v>45935</v>
      </c>
      <c r="K217" s="6">
        <v>46136</v>
      </c>
      <c r="L217" s="2" t="str">
        <f>IF(ISBLANK([1]!DATA[[#This Row],[DISCHARGE DATE]]),"NO DISCHARGE DATE",[1]!DATA[[#This Row],[DISCHARGE DATE]]-[1]!DATA[[#This Row],[ADMISSION DATE]]+1)</f>
        <v>NO DISCHARGE DATE</v>
      </c>
      <c r="M217" s="7">
        <v>350</v>
      </c>
      <c r="N217" s="7"/>
      <c r="O217" s="8" t="s">
        <v>478</v>
      </c>
      <c r="P217" s="8"/>
      <c r="Q217" s="10" t="e" cm="1">
        <f t="array" ref="Q217">_xlfn.IFS([1]!DATA[[#This Row],[TYPE]]="Normal",[1]!DATA[[#This Row],[STORAGE DAYS]]*13,[1]!DATA[[#This Row],[TYPE]]="VIP",[1]!DATA[[#This Row],[STORAGE DAYS]]*20)</f>
        <v>#VALUE!</v>
      </c>
      <c r="R217" s="11" t="str">
        <f>IF(ISBLANK([1]!DATA[[#This Row],[COLDROOM RECEIPT]]),"IN CUSTODY","DISCHARGED")</f>
        <v>IN CUSTODY</v>
      </c>
    </row>
    <row r="218" spans="1:18" ht="19.8">
      <c r="A218" s="1" t="s">
        <v>928</v>
      </c>
      <c r="B218" s="2" t="s">
        <v>929</v>
      </c>
      <c r="C218" s="2">
        <v>55</v>
      </c>
      <c r="D218" s="3" t="s">
        <v>16</v>
      </c>
      <c r="E218" s="3" t="s">
        <v>611</v>
      </c>
      <c r="F218" s="4" t="s">
        <v>930</v>
      </c>
      <c r="G218" s="3" t="s">
        <v>1</v>
      </c>
      <c r="H218" s="5">
        <v>0.8208333333333333</v>
      </c>
      <c r="I218" s="3" t="s">
        <v>2</v>
      </c>
      <c r="J218" s="6">
        <v>45933</v>
      </c>
      <c r="K218" s="6">
        <v>45961</v>
      </c>
      <c r="L218" s="2">
        <f>IF(ISBLANK([1]!DATA[[#This Row],[DISCHARGE DATE]]),"NO DISCHARGE DATE",[1]!DATA[[#This Row],[DISCHARGE DATE]]-[1]!DATA[[#This Row],[ADMISSION DATE]]+1)</f>
        <v>202</v>
      </c>
      <c r="M218" s="7">
        <v>350</v>
      </c>
      <c r="N218" s="7">
        <v>377</v>
      </c>
      <c r="O218" s="8" t="s">
        <v>931</v>
      </c>
      <c r="P218" s="8" t="s">
        <v>932</v>
      </c>
      <c r="Q218" s="10" cm="1">
        <f t="array" ref="Q218">_xlfn.IFS([1]!DATA[[#This Row],[TYPE]]="Normal",[1]!DATA[[#This Row],[STORAGE DAYS]]*13,[1]!DATA[[#This Row],[TYPE]]="VIP",[1]!DATA[[#This Row],[STORAGE DAYS]]*20)</f>
        <v>4040</v>
      </c>
      <c r="R218" s="11" t="str">
        <f>IF(ISBLANK([1]!DATA[[#This Row],[COLDROOM RECEIPT]]),"IN CUSTODY","DISCHARGED")</f>
        <v>IN CUSTODY</v>
      </c>
    </row>
    <row r="219" spans="1:18" ht="19.8">
      <c r="A219" s="1" t="s">
        <v>933</v>
      </c>
      <c r="B219" s="2" t="s">
        <v>934</v>
      </c>
      <c r="C219" s="2">
        <v>70</v>
      </c>
      <c r="D219" s="3" t="s">
        <v>16</v>
      </c>
      <c r="E219" s="3" t="s">
        <v>935</v>
      </c>
      <c r="F219" s="4" t="s">
        <v>936</v>
      </c>
      <c r="G219" s="3" t="s">
        <v>1</v>
      </c>
      <c r="H219" s="5" t="s">
        <v>937</v>
      </c>
      <c r="I219" s="3" t="s">
        <v>145</v>
      </c>
      <c r="J219" s="6">
        <v>45937</v>
      </c>
      <c r="K219" s="6">
        <v>46108</v>
      </c>
      <c r="L219" s="2">
        <f>IF(ISBLANK([1]!DATA[[#This Row],[DISCHARGE DATE]]),"NO DISCHARGE DATE",[1]!DATA[[#This Row],[DISCHARGE DATE]]-[1]!DATA[[#This Row],[ADMISSION DATE]]+1)</f>
        <v>29</v>
      </c>
      <c r="M219" s="7">
        <v>350</v>
      </c>
      <c r="N219" s="7"/>
      <c r="O219" s="8" t="s">
        <v>938</v>
      </c>
      <c r="P219" s="8"/>
      <c r="Q219" s="10" cm="1">
        <f t="array" ref="Q219">_xlfn.IFS([1]!DATA[[#This Row],[TYPE]]="Normal",[1]!DATA[[#This Row],[STORAGE DAYS]]*13,[1]!DATA[[#This Row],[TYPE]]="VIP",[1]!DATA[[#This Row],[STORAGE DAYS]]*20)</f>
        <v>377</v>
      </c>
      <c r="R219" s="11" t="str">
        <f>IF(ISBLANK([1]!DATA[[#This Row],[COLDROOM RECEIPT]]),"IN CUSTODY","DISCHARGED")</f>
        <v>DISCHARGED</v>
      </c>
    </row>
    <row r="220" spans="1:18" ht="19.8">
      <c r="A220" s="1" t="s">
        <v>939</v>
      </c>
      <c r="B220" s="2" t="s">
        <v>940</v>
      </c>
      <c r="C220" s="2">
        <v>30</v>
      </c>
      <c r="D220" s="3" t="s">
        <v>16</v>
      </c>
      <c r="E220" s="3" t="s">
        <v>941</v>
      </c>
      <c r="F220" s="4" t="s">
        <v>942</v>
      </c>
      <c r="G220" s="3" t="s">
        <v>11</v>
      </c>
      <c r="H220" s="5" t="s">
        <v>943</v>
      </c>
      <c r="I220" s="3" t="s">
        <v>2</v>
      </c>
      <c r="J220" s="6">
        <v>45940</v>
      </c>
      <c r="K220" s="6">
        <v>46080</v>
      </c>
      <c r="L220" s="2">
        <f>IF(ISBLANK([1]!DATA[[#This Row],[DISCHARGE DATE]]),"NO DISCHARGE DATE",[1]!DATA[[#This Row],[DISCHARGE DATE]]-[1]!DATA[[#This Row],[ADMISSION DATE]]+1)</f>
        <v>172</v>
      </c>
      <c r="M220" s="7">
        <v>350</v>
      </c>
      <c r="N220" s="7"/>
      <c r="O220" s="8" t="s">
        <v>678</v>
      </c>
      <c r="P220" s="8"/>
      <c r="Q220" s="10" cm="1">
        <f t="array" ref="Q220">_xlfn.IFS([1]!DATA[[#This Row],[TYPE]]="Normal",[1]!DATA[[#This Row],[STORAGE DAYS]]*13,[1]!DATA[[#This Row],[TYPE]]="VIP",[1]!DATA[[#This Row],[STORAGE DAYS]]*20)</f>
        <v>3440</v>
      </c>
      <c r="R220" s="11" t="str">
        <f>IF(ISBLANK([1]!DATA[[#This Row],[COLDROOM RECEIPT]]),"IN CUSTODY","DISCHARGED")</f>
        <v>IN CUSTODY</v>
      </c>
    </row>
    <row r="221" spans="1:18" ht="19.8">
      <c r="A221" s="1" t="s">
        <v>944</v>
      </c>
      <c r="B221" s="2" t="s">
        <v>945</v>
      </c>
      <c r="C221" s="2">
        <v>17</v>
      </c>
      <c r="D221" s="3" t="s">
        <v>16</v>
      </c>
      <c r="E221" s="3" t="s">
        <v>946</v>
      </c>
      <c r="F221" s="4" t="s">
        <v>947</v>
      </c>
      <c r="G221" s="3" t="s">
        <v>64</v>
      </c>
      <c r="H221" s="5" t="s">
        <v>948</v>
      </c>
      <c r="I221" s="3" t="s">
        <v>145</v>
      </c>
      <c r="J221" s="6">
        <v>45942</v>
      </c>
      <c r="K221" s="6">
        <v>46009</v>
      </c>
      <c r="L221" s="2">
        <f>IF(ISBLANK([1]!DATA[[#This Row],[DISCHARGE DATE]]),"NO DISCHARGE DATE",[1]!DATA[[#This Row],[DISCHARGE DATE]]-[1]!DATA[[#This Row],[ADMISSION DATE]]+1)</f>
        <v>141</v>
      </c>
      <c r="M221" s="7">
        <v>350</v>
      </c>
      <c r="N221" s="7">
        <v>1360</v>
      </c>
      <c r="O221" s="8" t="s">
        <v>668</v>
      </c>
      <c r="P221" s="8">
        <v>122</v>
      </c>
      <c r="Q221" s="10" cm="1">
        <f t="array" ref="Q221">_xlfn.IFS([1]!DATA[[#This Row],[TYPE]]="Normal",[1]!DATA[[#This Row],[STORAGE DAYS]]*13,[1]!DATA[[#This Row],[TYPE]]="VIP",[1]!DATA[[#This Row],[STORAGE DAYS]]*20)</f>
        <v>1833</v>
      </c>
      <c r="R221" s="11" t="str">
        <f>IF(ISBLANK([1]!DATA[[#This Row],[COLDROOM RECEIPT]]),"IN CUSTODY","DISCHARGED")</f>
        <v>IN CUSTODY</v>
      </c>
    </row>
    <row r="222" spans="1:18" ht="19.8">
      <c r="A222" s="1" t="s">
        <v>949</v>
      </c>
      <c r="B222" s="2" t="s">
        <v>25</v>
      </c>
      <c r="C222" s="2">
        <v>68</v>
      </c>
      <c r="D222" s="3" t="s">
        <v>0</v>
      </c>
      <c r="E222" s="3" t="s">
        <v>950</v>
      </c>
      <c r="F222" s="4" t="s">
        <v>951</v>
      </c>
      <c r="G222" s="3" t="s">
        <v>1</v>
      </c>
      <c r="H222" s="5" t="s">
        <v>952</v>
      </c>
      <c r="I222" s="3" t="s">
        <v>145</v>
      </c>
      <c r="J222" s="6">
        <v>45945</v>
      </c>
      <c r="K222" s="6">
        <v>46108</v>
      </c>
      <c r="L222" s="2">
        <f>IF(ISBLANK([1]!DATA[[#This Row],[DISCHARGE DATE]]),"NO DISCHARGE DATE",[1]!DATA[[#This Row],[DISCHARGE DATE]]-[1]!DATA[[#This Row],[ADMISSION DATE]]+1)</f>
        <v>68</v>
      </c>
      <c r="M222" s="7">
        <v>350</v>
      </c>
      <c r="N222" s="7">
        <v>2400</v>
      </c>
      <c r="O222" s="8" t="s">
        <v>805</v>
      </c>
      <c r="P222" s="8"/>
      <c r="Q222" s="10" cm="1">
        <f t="array" ref="Q222">_xlfn.IFS([1]!DATA[[#This Row],[TYPE]]="Normal",[1]!DATA[[#This Row],[STORAGE DAYS]]*13,[1]!DATA[[#This Row],[TYPE]]="VIP",[1]!DATA[[#This Row],[STORAGE DAYS]]*20)</f>
        <v>1360</v>
      </c>
      <c r="R222" s="11" t="str">
        <f>IF(ISBLANK([1]!DATA[[#This Row],[COLDROOM RECEIPT]]),"IN CUSTODY","DISCHARGED")</f>
        <v>DISCHARGED</v>
      </c>
    </row>
    <row r="223" spans="1:18" ht="19.8">
      <c r="A223" s="1" t="s">
        <v>953</v>
      </c>
      <c r="B223" s="2" t="s">
        <v>954</v>
      </c>
      <c r="C223" s="2">
        <v>42</v>
      </c>
      <c r="D223" s="3" t="s">
        <v>16</v>
      </c>
      <c r="E223" s="3" t="s">
        <v>955</v>
      </c>
      <c r="F223" s="4" t="s">
        <v>956</v>
      </c>
      <c r="G223" s="3" t="s">
        <v>1</v>
      </c>
      <c r="H223" s="5" t="s">
        <v>957</v>
      </c>
      <c r="I223" s="3" t="s">
        <v>2</v>
      </c>
      <c r="J223" s="6">
        <v>45944</v>
      </c>
      <c r="K223" s="6">
        <v>45989</v>
      </c>
      <c r="L223" s="2">
        <f>IF(ISBLANK([1]!DATA[[#This Row],[DISCHARGE DATE]]),"NO DISCHARGE DATE",[1]!DATA[[#This Row],[DISCHARGE DATE]]-[1]!DATA[[#This Row],[ADMISSION DATE]]+1)</f>
        <v>164</v>
      </c>
      <c r="M223" s="7">
        <v>350</v>
      </c>
      <c r="N223" s="7">
        <v>598</v>
      </c>
      <c r="O223" s="8" t="s">
        <v>783</v>
      </c>
      <c r="P223" s="8" t="s">
        <v>419</v>
      </c>
      <c r="Q223" s="10" cm="1">
        <f t="array" ref="Q223">_xlfn.IFS([1]!DATA[[#This Row],[TYPE]]="Normal",[1]!DATA[[#This Row],[STORAGE DAYS]]*13,[1]!DATA[[#This Row],[TYPE]]="VIP",[1]!DATA[[#This Row],[STORAGE DAYS]]*20)</f>
        <v>3280</v>
      </c>
      <c r="R223" s="11" t="str">
        <f>IF(ISBLANK([1]!DATA[[#This Row],[COLDROOM RECEIPT]]),"IN CUSTODY","DISCHARGED")</f>
        <v>IN CUSTODY</v>
      </c>
    </row>
    <row r="224" spans="1:18" ht="19.8">
      <c r="A224" s="1" t="s">
        <v>958</v>
      </c>
      <c r="B224" s="2" t="s">
        <v>959</v>
      </c>
      <c r="C224" s="2">
        <v>77</v>
      </c>
      <c r="D224" s="3" t="s">
        <v>0</v>
      </c>
      <c r="E224" s="3" t="s">
        <v>960</v>
      </c>
      <c r="F224" s="4" t="s">
        <v>961</v>
      </c>
      <c r="G224" s="3" t="s">
        <v>11</v>
      </c>
      <c r="H224" s="5">
        <v>0.77083333333333337</v>
      </c>
      <c r="I224" s="3" t="s">
        <v>2</v>
      </c>
      <c r="J224" s="6">
        <v>45945</v>
      </c>
      <c r="K224" s="6">
        <v>46080</v>
      </c>
      <c r="L224" s="2">
        <f>IF(ISBLANK([1]!DATA[[#This Row],[DISCHARGE DATE]]),"NO DISCHARGE DATE",[1]!DATA[[#This Row],[DISCHARGE DATE]]-[1]!DATA[[#This Row],[ADMISSION DATE]]+1)</f>
        <v>46</v>
      </c>
      <c r="M224" s="7">
        <v>350</v>
      </c>
      <c r="N224" s="7"/>
      <c r="O224" s="8" t="s">
        <v>541</v>
      </c>
      <c r="P224" s="8"/>
      <c r="Q224" s="10" cm="1">
        <f t="array" ref="Q224">_xlfn.IFS([1]!DATA[[#This Row],[TYPE]]="Normal",[1]!DATA[[#This Row],[STORAGE DAYS]]*13,[1]!DATA[[#This Row],[TYPE]]="VIP",[1]!DATA[[#This Row],[STORAGE DAYS]]*20)</f>
        <v>598</v>
      </c>
      <c r="R224" s="11" t="str">
        <f>IF(ISBLANK([1]!DATA[[#This Row],[COLDROOM RECEIPT]]),"IN CUSTODY","DISCHARGED")</f>
        <v>DISCHARGED</v>
      </c>
    </row>
    <row r="225" spans="1:18" ht="19.8">
      <c r="A225" s="1" t="s">
        <v>962</v>
      </c>
      <c r="B225" s="2" t="s">
        <v>963</v>
      </c>
      <c r="C225" s="2">
        <v>78</v>
      </c>
      <c r="D225" s="3" t="s">
        <v>0</v>
      </c>
      <c r="E225" s="3" t="s">
        <v>964</v>
      </c>
      <c r="F225" s="4" t="s">
        <v>965</v>
      </c>
      <c r="G225" s="3" t="s">
        <v>1</v>
      </c>
      <c r="H225" s="5" t="s">
        <v>966</v>
      </c>
      <c r="I225" s="3" t="s">
        <v>145</v>
      </c>
      <c r="J225" s="6">
        <v>45947</v>
      </c>
      <c r="K225" s="6">
        <v>46108</v>
      </c>
      <c r="L225" s="2">
        <f>IF(ISBLANK([1]!DATA[[#This Row],[DISCHARGE DATE]]),"NO DISCHARGE DATE",[1]!DATA[[#This Row],[DISCHARGE DATE]]-[1]!DATA[[#This Row],[ADMISSION DATE]]+1)</f>
        <v>136</v>
      </c>
      <c r="M225" s="7">
        <v>350</v>
      </c>
      <c r="N225" s="7"/>
      <c r="O225" s="8" t="s">
        <v>771</v>
      </c>
      <c r="P225" s="8"/>
      <c r="Q225" s="10" cm="1">
        <f t="array" ref="Q225">_xlfn.IFS([1]!DATA[[#This Row],[TYPE]]="Normal",[1]!DATA[[#This Row],[STORAGE DAYS]]*13,[1]!DATA[[#This Row],[TYPE]]="VIP",[1]!DATA[[#This Row],[STORAGE DAYS]]*20)</f>
        <v>1768</v>
      </c>
      <c r="R225" s="11" t="str">
        <f>IF(ISBLANK([1]!DATA[[#This Row],[COLDROOM RECEIPT]]),"IN CUSTODY","DISCHARGED")</f>
        <v>IN CUSTODY</v>
      </c>
    </row>
    <row r="226" spans="1:18" ht="19.8">
      <c r="A226" s="1" t="s">
        <v>967</v>
      </c>
      <c r="B226" s="2" t="s">
        <v>968</v>
      </c>
      <c r="C226" s="2">
        <v>62</v>
      </c>
      <c r="D226" s="3" t="s">
        <v>0</v>
      </c>
      <c r="E226" s="3" t="s">
        <v>969</v>
      </c>
      <c r="F226" s="4" t="s">
        <v>970</v>
      </c>
      <c r="G226" s="3" t="s">
        <v>1</v>
      </c>
      <c r="H226" s="5" t="s">
        <v>971</v>
      </c>
      <c r="I226" s="3" t="s">
        <v>2</v>
      </c>
      <c r="J226" s="6">
        <v>45948</v>
      </c>
      <c r="K226" s="6">
        <v>45989</v>
      </c>
      <c r="L226" s="2">
        <f>IF(ISBLANK([1]!DATA[[#This Row],[DISCHARGE DATE]]),"NO DISCHARGE DATE",[1]!DATA[[#This Row],[DISCHARGE DATE]]-[1]!DATA[[#This Row],[ADMISSION DATE]]+1)</f>
        <v>162</v>
      </c>
      <c r="M226" s="7">
        <v>350</v>
      </c>
      <c r="N226" s="7">
        <v>546</v>
      </c>
      <c r="O226" s="8" t="s">
        <v>614</v>
      </c>
      <c r="P226" s="8" t="s">
        <v>423</v>
      </c>
      <c r="Q226" s="10" cm="1">
        <f t="array" ref="Q226">_xlfn.IFS([1]!DATA[[#This Row],[TYPE]]="Normal",[1]!DATA[[#This Row],[STORAGE DAYS]]*13,[1]!DATA[[#This Row],[TYPE]]="VIP",[1]!DATA[[#This Row],[STORAGE DAYS]]*20)</f>
        <v>3240</v>
      </c>
      <c r="R226" s="11" t="str">
        <f>IF(ISBLANK([1]!DATA[[#This Row],[COLDROOM RECEIPT]]),"IN CUSTODY","DISCHARGED")</f>
        <v>IN CUSTODY</v>
      </c>
    </row>
    <row r="227" spans="1:18" ht="19.8">
      <c r="A227" s="1" t="s">
        <v>972</v>
      </c>
      <c r="B227" s="2" t="s">
        <v>973</v>
      </c>
      <c r="C227" s="2">
        <v>35</v>
      </c>
      <c r="D227" s="3" t="s">
        <v>0</v>
      </c>
      <c r="E227" s="3" t="s">
        <v>974</v>
      </c>
      <c r="F227" s="4" t="s">
        <v>975</v>
      </c>
      <c r="G227" s="3" t="s">
        <v>18</v>
      </c>
      <c r="H227" s="5" t="s">
        <v>976</v>
      </c>
      <c r="I227" s="3" t="s">
        <v>2</v>
      </c>
      <c r="J227" s="6">
        <v>45947</v>
      </c>
      <c r="K227" s="6"/>
      <c r="L227" s="2">
        <f>IF(ISBLANK([1]!DATA[[#This Row],[DISCHARGE DATE]]),"NO DISCHARGE DATE",[1]!DATA[[#This Row],[DISCHARGE DATE]]-[1]!DATA[[#This Row],[ADMISSION DATE]]+1)</f>
        <v>42</v>
      </c>
      <c r="M227" s="7">
        <v>350</v>
      </c>
      <c r="N227" s="7"/>
      <c r="O227" s="8" t="s">
        <v>932</v>
      </c>
      <c r="P227" s="8"/>
      <c r="Q227" s="10" cm="1">
        <f t="array" ref="Q227">_xlfn.IFS([1]!DATA[[#This Row],[TYPE]]="Normal",[1]!DATA[[#This Row],[STORAGE DAYS]]*13,[1]!DATA[[#This Row],[TYPE]]="VIP",[1]!DATA[[#This Row],[STORAGE DAYS]]*20)</f>
        <v>546</v>
      </c>
      <c r="R227" s="11" t="str">
        <f>IF(ISBLANK([1]!DATA[[#This Row],[COLDROOM RECEIPT]]),"IN CUSTODY","DISCHARGED")</f>
        <v>DISCHARGED</v>
      </c>
    </row>
    <row r="228" spans="1:18" ht="19.8">
      <c r="A228" s="1" t="s">
        <v>977</v>
      </c>
      <c r="B228" s="2" t="s">
        <v>978</v>
      </c>
      <c r="C228" s="2">
        <v>60</v>
      </c>
      <c r="D228" s="3" t="s">
        <v>16</v>
      </c>
      <c r="E228" s="3" t="s">
        <v>803</v>
      </c>
      <c r="F228" s="21" t="s">
        <v>804</v>
      </c>
      <c r="G228" s="3" t="s">
        <v>1</v>
      </c>
      <c r="H228" s="5" t="s">
        <v>979</v>
      </c>
      <c r="I228" s="3" t="s">
        <v>145</v>
      </c>
      <c r="J228" s="6">
        <v>45950</v>
      </c>
      <c r="K228" s="6"/>
      <c r="L228" s="2" t="str">
        <f>IF(ISBLANK([1]!DATA[[#This Row],[DISCHARGE DATE]]),"NO DISCHARGE DATE",[1]!DATA[[#This Row],[DISCHARGE DATE]]-[1]!DATA[[#This Row],[ADMISSION DATE]]+1)</f>
        <v>NO DISCHARGE DATE</v>
      </c>
      <c r="M228" s="7">
        <v>350</v>
      </c>
      <c r="N228" s="7"/>
      <c r="O228" s="8" t="s">
        <v>584</v>
      </c>
      <c r="P228" s="8"/>
      <c r="Q228" s="10" t="e" cm="1">
        <f t="array" ref="Q228">_xlfn.IFS([1]!DATA[[#This Row],[TYPE]]="Normal",[1]!DATA[[#This Row],[STORAGE DAYS]]*13,[1]!DATA[[#This Row],[TYPE]]="VIP",[1]!DATA[[#This Row],[STORAGE DAYS]]*20)</f>
        <v>#VALUE!</v>
      </c>
      <c r="R228" s="11" t="str">
        <f>IF(ISBLANK([1]!DATA[[#This Row],[COLDROOM RECEIPT]]),"IN CUSTODY","DISCHARGED")</f>
        <v>IN CUSTODY</v>
      </c>
    </row>
    <row r="229" spans="1:18" ht="19.8">
      <c r="A229" s="1" t="s">
        <v>980</v>
      </c>
      <c r="B229" s="2" t="s">
        <v>981</v>
      </c>
      <c r="C229" s="2">
        <v>77</v>
      </c>
      <c r="D229" s="3" t="s">
        <v>0</v>
      </c>
      <c r="E229" s="3" t="s">
        <v>982</v>
      </c>
      <c r="F229" s="4">
        <v>245398248</v>
      </c>
      <c r="G229" s="3" t="s">
        <v>11</v>
      </c>
      <c r="H229" s="5" t="s">
        <v>983</v>
      </c>
      <c r="I229" s="3" t="s">
        <v>145</v>
      </c>
      <c r="J229" s="6">
        <v>45950</v>
      </c>
      <c r="K229" s="6">
        <v>46108</v>
      </c>
      <c r="L229" s="2" t="str">
        <f>IF(ISBLANK([1]!DATA[[#This Row],[DISCHARGE DATE]]),"NO DISCHARGE DATE",[1]!DATA[[#This Row],[DISCHARGE DATE]]-[1]!DATA[[#This Row],[ADMISSION DATE]]+1)</f>
        <v>NO DISCHARGE DATE</v>
      </c>
      <c r="M229" s="7">
        <v>350</v>
      </c>
      <c r="N229" s="7"/>
      <c r="O229" s="8" t="s">
        <v>608</v>
      </c>
      <c r="P229" s="8"/>
      <c r="Q229" s="10" t="e" cm="1">
        <f t="array" ref="Q229">_xlfn.IFS([1]!DATA[[#This Row],[TYPE]]="Normal",[1]!DATA[[#This Row],[STORAGE DAYS]]*13,[1]!DATA[[#This Row],[TYPE]]="VIP",[1]!DATA[[#This Row],[STORAGE DAYS]]*20)</f>
        <v>#VALUE!</v>
      </c>
      <c r="R229" s="11" t="str">
        <f>IF(ISBLANK([1]!DATA[[#This Row],[COLDROOM RECEIPT]]),"IN CUSTODY","DISCHARGED")</f>
        <v>IN CUSTODY</v>
      </c>
    </row>
    <row r="230" spans="1:18" ht="19.8">
      <c r="A230" s="1" t="s">
        <v>984</v>
      </c>
      <c r="B230" s="2" t="s">
        <v>985</v>
      </c>
      <c r="C230" s="2">
        <v>123</v>
      </c>
      <c r="D230" s="3" t="s">
        <v>16</v>
      </c>
      <c r="E230" s="3" t="s">
        <v>986</v>
      </c>
      <c r="F230" s="21" t="s">
        <v>987</v>
      </c>
      <c r="G230" s="3" t="s">
        <v>1</v>
      </c>
      <c r="H230" s="5">
        <v>0.6875</v>
      </c>
      <c r="I230" s="3" t="s">
        <v>145</v>
      </c>
      <c r="J230" s="6">
        <v>45948</v>
      </c>
      <c r="K230" s="6">
        <v>45959</v>
      </c>
      <c r="L230" s="2">
        <f>IF(ISBLANK([1]!DATA[[#This Row],[DISCHARGE DATE]]),"NO DISCHARGE DATE",[1]!DATA[[#This Row],[DISCHARGE DATE]]-[1]!DATA[[#This Row],[ADMISSION DATE]]+1)</f>
        <v>159</v>
      </c>
      <c r="M230" s="7">
        <v>350</v>
      </c>
      <c r="N230" s="7">
        <v>240</v>
      </c>
      <c r="O230" s="8" t="s">
        <v>732</v>
      </c>
      <c r="P230" s="8" t="s">
        <v>988</v>
      </c>
      <c r="Q230" s="10" cm="1">
        <f t="array" ref="Q230">_xlfn.IFS([1]!DATA[[#This Row],[TYPE]]="Normal",[1]!DATA[[#This Row],[STORAGE DAYS]]*13,[1]!DATA[[#This Row],[TYPE]]="VIP",[1]!DATA[[#This Row],[STORAGE DAYS]]*20)</f>
        <v>3180</v>
      </c>
      <c r="R230" s="11" t="str">
        <f>IF(ISBLANK([1]!DATA[[#This Row],[COLDROOM RECEIPT]]),"IN CUSTODY","DISCHARGED")</f>
        <v>IN CUSTODY</v>
      </c>
    </row>
    <row r="231" spans="1:18" ht="19.8">
      <c r="A231" s="1" t="s">
        <v>989</v>
      </c>
      <c r="B231" s="2" t="s">
        <v>753</v>
      </c>
      <c r="C231" s="2">
        <v>48</v>
      </c>
      <c r="D231" s="3" t="s">
        <v>0</v>
      </c>
      <c r="E231" s="3" t="s">
        <v>935</v>
      </c>
      <c r="F231" s="21" t="s">
        <v>990</v>
      </c>
      <c r="G231" s="3" t="s">
        <v>1</v>
      </c>
      <c r="H231" s="5" t="s">
        <v>991</v>
      </c>
      <c r="I231" s="3" t="s">
        <v>2</v>
      </c>
      <c r="J231" s="6">
        <v>45951</v>
      </c>
      <c r="K231" s="6">
        <v>45954</v>
      </c>
      <c r="L231" s="2">
        <f>IF(ISBLANK([1]!DATA[[#This Row],[DISCHARGE DATE]]),"NO DISCHARGE DATE",[1]!DATA[[#This Row],[DISCHARGE DATE]]-[1]!DATA[[#This Row],[ADMISSION DATE]]+1)</f>
        <v>12</v>
      </c>
      <c r="M231" s="7">
        <v>350</v>
      </c>
      <c r="N231" s="7">
        <v>52</v>
      </c>
      <c r="O231" s="8" t="s">
        <v>736</v>
      </c>
      <c r="P231" s="8" t="s">
        <v>931</v>
      </c>
      <c r="Q231" s="10" cm="1">
        <f t="array" ref="Q231">_xlfn.IFS([1]!DATA[[#This Row],[TYPE]]="Normal",[1]!DATA[[#This Row],[STORAGE DAYS]]*13,[1]!DATA[[#This Row],[TYPE]]="VIP",[1]!DATA[[#This Row],[STORAGE DAYS]]*20)</f>
        <v>240</v>
      </c>
      <c r="R231" s="11" t="str">
        <f>IF(ISBLANK([1]!DATA[[#This Row],[COLDROOM RECEIPT]]),"IN CUSTODY","DISCHARGED")</f>
        <v>DISCHARGED</v>
      </c>
    </row>
    <row r="232" spans="1:18" ht="19.8">
      <c r="A232" s="1" t="s">
        <v>992</v>
      </c>
      <c r="B232" s="2" t="s">
        <v>993</v>
      </c>
      <c r="C232" s="2">
        <v>46</v>
      </c>
      <c r="D232" s="3" t="s">
        <v>0</v>
      </c>
      <c r="E232" s="3" t="s">
        <v>994</v>
      </c>
      <c r="F232" s="21" t="s">
        <v>995</v>
      </c>
      <c r="G232" s="3" t="s">
        <v>11</v>
      </c>
      <c r="H232" s="5" t="s">
        <v>996</v>
      </c>
      <c r="I232" s="3" t="s">
        <v>145</v>
      </c>
      <c r="J232" s="6">
        <v>45952</v>
      </c>
      <c r="K232" s="6">
        <v>45953</v>
      </c>
      <c r="L232" s="2">
        <f>IF(ISBLANK([1]!DATA[[#This Row],[DISCHARGE DATE]]),"NO DISCHARGE DATE",[1]!DATA[[#This Row],[DISCHARGE DATE]]-[1]!DATA[[#This Row],[ADMISSION DATE]]+1)</f>
        <v>4</v>
      </c>
      <c r="M232" s="7">
        <v>350</v>
      </c>
      <c r="N232" s="7">
        <v>20</v>
      </c>
      <c r="O232" s="8" t="s">
        <v>988</v>
      </c>
      <c r="P232" s="8" t="s">
        <v>938</v>
      </c>
      <c r="Q232" s="10" cm="1">
        <f t="array" ref="Q232">_xlfn.IFS([1]!DATA[[#This Row],[TYPE]]="Normal",[1]!DATA[[#This Row],[STORAGE DAYS]]*13,[1]!DATA[[#This Row],[TYPE]]="VIP",[1]!DATA[[#This Row],[STORAGE DAYS]]*20)</f>
        <v>52</v>
      </c>
      <c r="R232" s="11" t="str">
        <f>IF(ISBLANK([1]!DATA[[#This Row],[COLDROOM RECEIPT]]),"IN CUSTODY","DISCHARGED")</f>
        <v>DISCHARGED</v>
      </c>
    </row>
    <row r="233" spans="1:18" ht="19.8">
      <c r="A233" s="1" t="s">
        <v>997</v>
      </c>
      <c r="B233" s="2" t="s">
        <v>998</v>
      </c>
      <c r="C233" s="2">
        <v>39</v>
      </c>
      <c r="D233" s="3" t="s">
        <v>0</v>
      </c>
      <c r="E233" s="3" t="s">
        <v>999</v>
      </c>
      <c r="F233" s="21" t="s">
        <v>1000</v>
      </c>
      <c r="G233" s="3" t="s">
        <v>1</v>
      </c>
      <c r="H233" s="5" t="s">
        <v>976</v>
      </c>
      <c r="I233" s="3" t="s">
        <v>2</v>
      </c>
      <c r="J233" s="6">
        <v>45953</v>
      </c>
      <c r="K233" s="6">
        <v>45989</v>
      </c>
      <c r="L233" s="2">
        <f>IF(ISBLANK([1]!DATA[[#This Row],[DISCHARGE DATE]]),"NO DISCHARGE DATE",[1]!DATA[[#This Row],[DISCHARGE DATE]]-[1]!DATA[[#This Row],[ADMISSION DATE]]+1)</f>
        <v>2</v>
      </c>
      <c r="M233" s="7">
        <v>350</v>
      </c>
      <c r="N233" s="7">
        <v>481</v>
      </c>
      <c r="O233" s="8" t="s">
        <v>822</v>
      </c>
      <c r="P233" s="8" t="s">
        <v>464</v>
      </c>
      <c r="Q233" s="10" cm="1">
        <f t="array" ref="Q233">_xlfn.IFS([1]!DATA[[#This Row],[TYPE]]="Normal",[1]!DATA[[#This Row],[STORAGE DAYS]]*13,[1]!DATA[[#This Row],[TYPE]]="VIP",[1]!DATA[[#This Row],[STORAGE DAYS]]*20)</f>
        <v>40</v>
      </c>
      <c r="R233" s="11" t="str">
        <f>IF(ISBLANK([1]!DATA[[#This Row],[COLDROOM RECEIPT]]),"IN CUSTODY","DISCHARGED")</f>
        <v>DISCHARGED</v>
      </c>
    </row>
    <row r="234" spans="1:18" ht="19.8">
      <c r="A234" s="1" t="s">
        <v>1001</v>
      </c>
      <c r="B234" s="2" t="s">
        <v>1002</v>
      </c>
      <c r="C234" s="2">
        <v>67</v>
      </c>
      <c r="D234" s="3" t="s">
        <v>16</v>
      </c>
      <c r="E234" s="3" t="s">
        <v>920</v>
      </c>
      <c r="F234" s="21" t="s">
        <v>921</v>
      </c>
      <c r="G234" s="3" t="s">
        <v>18</v>
      </c>
      <c r="H234" s="5" t="s">
        <v>880</v>
      </c>
      <c r="I234" s="3" t="s">
        <v>2</v>
      </c>
      <c r="J234" s="6">
        <v>45957</v>
      </c>
      <c r="K234" s="6"/>
      <c r="L234" s="2">
        <f>IF(ISBLANK([1]!DATA[[#This Row],[DISCHARGE DATE]]),"NO DISCHARGE DATE",[1]!DATA[[#This Row],[DISCHARGE DATE]]-[1]!DATA[[#This Row],[ADMISSION DATE]]+1)</f>
        <v>37</v>
      </c>
      <c r="M234" s="7">
        <v>350</v>
      </c>
      <c r="N234" s="7"/>
      <c r="O234" s="8" t="s">
        <v>881</v>
      </c>
      <c r="P234" s="8"/>
      <c r="Q234" s="10" cm="1">
        <f t="array" ref="Q234">_xlfn.IFS([1]!DATA[[#This Row],[TYPE]]="Normal",[1]!DATA[[#This Row],[STORAGE DAYS]]*13,[1]!DATA[[#This Row],[TYPE]]="VIP",[1]!DATA[[#This Row],[STORAGE DAYS]]*20)</f>
        <v>481</v>
      </c>
      <c r="R234" s="11" t="str">
        <f>IF(ISBLANK([1]!DATA[[#This Row],[COLDROOM RECEIPT]]),"IN CUSTODY","DISCHARGED")</f>
        <v>DISCHARGED</v>
      </c>
    </row>
    <row r="235" spans="1:18" ht="19.8">
      <c r="A235" s="1" t="s">
        <v>1003</v>
      </c>
      <c r="B235" s="2" t="s">
        <v>1004</v>
      </c>
      <c r="C235" s="2">
        <v>90</v>
      </c>
      <c r="D235" s="3" t="s">
        <v>16</v>
      </c>
      <c r="E235" s="3" t="s">
        <v>1005</v>
      </c>
      <c r="F235" s="21" t="s">
        <v>1006</v>
      </c>
      <c r="G235" s="3" t="s">
        <v>1007</v>
      </c>
      <c r="H235" s="5" t="s">
        <v>866</v>
      </c>
      <c r="I235" s="3" t="s">
        <v>145</v>
      </c>
      <c r="J235" s="6">
        <v>45959</v>
      </c>
      <c r="K235" s="6">
        <v>46108</v>
      </c>
      <c r="L235" s="2" t="str">
        <f>IF(ISBLANK([1]!DATA[[#This Row],[DISCHARGE DATE]]),"NO DISCHARGE DATE",[1]!DATA[[#This Row],[DISCHARGE DATE]]-[1]!DATA[[#This Row],[ADMISSION DATE]]+1)</f>
        <v>NO DISCHARGE DATE</v>
      </c>
      <c r="M235" s="7">
        <v>350</v>
      </c>
      <c r="N235" s="7"/>
      <c r="O235" s="8" t="s">
        <v>643</v>
      </c>
      <c r="P235" s="8"/>
      <c r="Q235" s="10" t="e" cm="1">
        <f t="array" ref="Q235">_xlfn.IFS([1]!DATA[[#This Row],[TYPE]]="Normal",[1]!DATA[[#This Row],[STORAGE DAYS]]*13,[1]!DATA[[#This Row],[TYPE]]="VIP",[1]!DATA[[#This Row],[STORAGE DAYS]]*20)</f>
        <v>#VALUE!</v>
      </c>
      <c r="R235" s="11" t="str">
        <f>IF(ISBLANK([1]!DATA[[#This Row],[COLDROOM RECEIPT]]),"IN CUSTODY","DISCHARGED")</f>
        <v>IN CUSTODY</v>
      </c>
    </row>
    <row r="236" spans="1:18" ht="19.8">
      <c r="A236" s="1" t="s">
        <v>1008</v>
      </c>
      <c r="B236" s="2" t="s">
        <v>1009</v>
      </c>
      <c r="C236" s="2">
        <v>64</v>
      </c>
      <c r="D236" s="3" t="s">
        <v>16</v>
      </c>
      <c r="E236" s="3" t="s">
        <v>1010</v>
      </c>
      <c r="F236" s="21" t="s">
        <v>1011</v>
      </c>
      <c r="G236" s="3" t="s">
        <v>1</v>
      </c>
      <c r="H236" s="5" t="s">
        <v>1012</v>
      </c>
      <c r="I236" s="3" t="s">
        <v>2</v>
      </c>
      <c r="J236" s="6">
        <v>45960</v>
      </c>
      <c r="K236" s="6">
        <v>46108</v>
      </c>
      <c r="L236" s="2">
        <f>IF(ISBLANK([1]!DATA[[#This Row],[DISCHARGE DATE]]),"NO DISCHARGE DATE",[1]!DATA[[#This Row],[DISCHARGE DATE]]-[1]!DATA[[#This Row],[ADMISSION DATE]]+1)</f>
        <v>150</v>
      </c>
      <c r="M236" s="7">
        <v>350</v>
      </c>
      <c r="N236" s="7">
        <v>500</v>
      </c>
      <c r="O236" s="8" t="s">
        <v>721</v>
      </c>
      <c r="P236" s="8"/>
      <c r="Q236" s="10" cm="1">
        <f t="array" ref="Q236">_xlfn.IFS([1]!DATA[[#This Row],[TYPE]]="Normal",[1]!DATA[[#This Row],[STORAGE DAYS]]*13,[1]!DATA[[#This Row],[TYPE]]="VIP",[1]!DATA[[#This Row],[STORAGE DAYS]]*20)</f>
        <v>3000</v>
      </c>
      <c r="R236" s="11" t="str">
        <f>IF(ISBLANK([1]!DATA[[#This Row],[COLDROOM RECEIPT]]),"IN CUSTODY","DISCHARGED")</f>
        <v>IN CUSTODY</v>
      </c>
    </row>
    <row r="237" spans="1:18" ht="19.8">
      <c r="A237" s="1" t="s">
        <v>1013</v>
      </c>
      <c r="B237" s="2" t="s">
        <v>1014</v>
      </c>
      <c r="C237" s="2">
        <v>52</v>
      </c>
      <c r="D237" s="3" t="s">
        <v>16</v>
      </c>
      <c r="E237" s="3" t="s">
        <v>1015</v>
      </c>
      <c r="F237" s="21" t="s">
        <v>1016</v>
      </c>
      <c r="G237" s="3" t="s">
        <v>64</v>
      </c>
      <c r="H237" s="5" t="s">
        <v>971</v>
      </c>
      <c r="I237" s="3" t="s">
        <v>2</v>
      </c>
      <c r="J237" s="6">
        <v>45960</v>
      </c>
      <c r="K237" s="6">
        <v>45989</v>
      </c>
      <c r="L237" s="2">
        <f>IF(ISBLANK([1]!DATA[[#This Row],[DISCHARGE DATE]]),"NO DISCHARGE DATE",[1]!DATA[[#This Row],[DISCHARGE DATE]]-[1]!DATA[[#This Row],[ADMISSION DATE]]+1)</f>
        <v>149</v>
      </c>
      <c r="M237" s="7">
        <v>350</v>
      </c>
      <c r="N237" s="7">
        <v>390</v>
      </c>
      <c r="O237" s="8" t="s">
        <v>568</v>
      </c>
      <c r="P237" s="8" t="s">
        <v>450</v>
      </c>
      <c r="Q237" s="10" cm="1">
        <f t="array" ref="Q237">_xlfn.IFS([1]!DATA[[#This Row],[TYPE]]="Normal",[1]!DATA[[#This Row],[STORAGE DAYS]]*13,[1]!DATA[[#This Row],[TYPE]]="VIP",[1]!DATA[[#This Row],[STORAGE DAYS]]*20)</f>
        <v>1937</v>
      </c>
      <c r="R237" s="11" t="str">
        <f>IF(ISBLANK([1]!DATA[[#This Row],[COLDROOM RECEIPT]]),"IN CUSTODY","DISCHARGED")</f>
        <v>IN CUSTODY</v>
      </c>
    </row>
    <row r="238" spans="1:18" ht="19.8">
      <c r="A238" s="1" t="s">
        <v>1017</v>
      </c>
      <c r="B238" s="2" t="s">
        <v>1018</v>
      </c>
      <c r="C238" s="2">
        <v>78</v>
      </c>
      <c r="D238" s="3" t="s">
        <v>0</v>
      </c>
      <c r="E238" s="3" t="s">
        <v>1019</v>
      </c>
      <c r="F238" s="21" t="s">
        <v>1020</v>
      </c>
      <c r="G238" s="3" t="s">
        <v>11</v>
      </c>
      <c r="H238" s="5" t="s">
        <v>1021</v>
      </c>
      <c r="I238" s="3" t="s">
        <v>2</v>
      </c>
      <c r="J238" s="6">
        <v>45962</v>
      </c>
      <c r="K238" s="6">
        <v>46108</v>
      </c>
      <c r="L238" s="2">
        <f>IF(ISBLANK([1]!DATA[[#This Row],[DISCHARGE DATE]]),"NO DISCHARGE DATE",[1]!DATA[[#This Row],[DISCHARGE DATE]]-[1]!DATA[[#This Row],[ADMISSION DATE]]+1)</f>
        <v>30</v>
      </c>
      <c r="M238" s="7">
        <v>350</v>
      </c>
      <c r="N238" s="7"/>
      <c r="O238" s="8" t="s">
        <v>686</v>
      </c>
      <c r="P238" s="8"/>
      <c r="Q238" s="10" cm="1">
        <f t="array" ref="Q238">_xlfn.IFS([1]!DATA[[#This Row],[TYPE]]="Normal",[1]!DATA[[#This Row],[STORAGE DAYS]]*13,[1]!DATA[[#This Row],[TYPE]]="VIP",[1]!DATA[[#This Row],[STORAGE DAYS]]*20)</f>
        <v>390</v>
      </c>
      <c r="R238" s="11" t="str">
        <f>IF(ISBLANK([1]!DATA[[#This Row],[COLDROOM RECEIPT]]),"IN CUSTODY","DISCHARGED")</f>
        <v>DISCHARGED</v>
      </c>
    </row>
    <row r="239" spans="1:18" ht="19.8">
      <c r="A239" s="1" t="s">
        <v>1022</v>
      </c>
      <c r="B239" s="2" t="s">
        <v>1023</v>
      </c>
      <c r="C239" s="2">
        <v>80</v>
      </c>
      <c r="D239" s="3" t="s">
        <v>16</v>
      </c>
      <c r="E239" s="3" t="s">
        <v>108</v>
      </c>
      <c r="F239" s="21" t="s">
        <v>1024</v>
      </c>
      <c r="G239" s="3" t="s">
        <v>1</v>
      </c>
      <c r="H239" s="5" t="s">
        <v>917</v>
      </c>
      <c r="I239" s="3" t="s">
        <v>2</v>
      </c>
      <c r="J239" s="6">
        <v>45964</v>
      </c>
      <c r="K239" s="6">
        <v>46108</v>
      </c>
      <c r="L239" s="2">
        <f>IF(ISBLANK([1]!DATA[[#This Row],[DISCHARGE DATE]]),"NO DISCHARGE DATE",[1]!DATA[[#This Row],[DISCHARGE DATE]]-[1]!DATA[[#This Row],[ADMISSION DATE]]+1)</f>
        <v>147</v>
      </c>
      <c r="M239" s="7">
        <v>350</v>
      </c>
      <c r="N239" s="7"/>
      <c r="O239" s="8" t="s">
        <v>907</v>
      </c>
      <c r="P239" s="8"/>
      <c r="Q239" s="10" cm="1">
        <f t="array" ref="Q239">_xlfn.IFS([1]!DATA[[#This Row],[TYPE]]="Normal",[1]!DATA[[#This Row],[STORAGE DAYS]]*13,[1]!DATA[[#This Row],[TYPE]]="VIP",[1]!DATA[[#This Row],[STORAGE DAYS]]*20)</f>
        <v>1911</v>
      </c>
      <c r="R239" s="11" t="str">
        <f>IF(ISBLANK([1]!DATA[[#This Row],[COLDROOM RECEIPT]]),"IN CUSTODY","DISCHARGED")</f>
        <v>IN CUSTODY</v>
      </c>
    </row>
    <row r="240" spans="1:18" ht="19.8">
      <c r="A240" s="1" t="s">
        <v>1025</v>
      </c>
      <c r="B240" s="2" t="s">
        <v>1026</v>
      </c>
      <c r="C240" s="2">
        <v>90</v>
      </c>
      <c r="D240" s="3" t="s">
        <v>0</v>
      </c>
      <c r="E240" s="3" t="s">
        <v>1027</v>
      </c>
      <c r="F240" s="21" t="s">
        <v>1028</v>
      </c>
      <c r="G240" s="3" t="s">
        <v>1</v>
      </c>
      <c r="H240" s="5" t="s">
        <v>1029</v>
      </c>
      <c r="I240" s="3" t="s">
        <v>145</v>
      </c>
      <c r="J240" s="6">
        <v>45964</v>
      </c>
      <c r="K240" s="6">
        <v>46108</v>
      </c>
      <c r="L240" s="2">
        <f>IF(ISBLANK([1]!DATA[[#This Row],[DISCHARGE DATE]]),"NO DISCHARGE DATE",[1]!DATA[[#This Row],[DISCHARGE DATE]]-[1]!DATA[[#This Row],[ADMISSION DATE]]+1)</f>
        <v>145</v>
      </c>
      <c r="M240" s="7">
        <v>350</v>
      </c>
      <c r="N240" s="7"/>
      <c r="O240" s="8" t="s">
        <v>1030</v>
      </c>
      <c r="P240" s="8"/>
      <c r="Q240" s="10" cm="1">
        <f t="array" ref="Q240">_xlfn.IFS([1]!DATA[[#This Row],[TYPE]]="Normal",[1]!DATA[[#This Row],[STORAGE DAYS]]*13,[1]!DATA[[#This Row],[TYPE]]="VIP",[1]!DATA[[#This Row],[STORAGE DAYS]]*20)</f>
        <v>1885</v>
      </c>
      <c r="R240" s="11" t="str">
        <f>IF(ISBLANK([1]!DATA[[#This Row],[COLDROOM RECEIPT]]),"IN CUSTODY","DISCHARGED")</f>
        <v>IN CUSTODY</v>
      </c>
    </row>
    <row r="241" spans="1:18" ht="19.8">
      <c r="A241" s="1" t="s">
        <v>1031</v>
      </c>
      <c r="B241" s="2" t="s">
        <v>1032</v>
      </c>
      <c r="C241" s="2">
        <v>51</v>
      </c>
      <c r="D241" s="3" t="s">
        <v>0</v>
      </c>
      <c r="E241" s="3" t="s">
        <v>1033</v>
      </c>
      <c r="F241" s="21" t="s">
        <v>1034</v>
      </c>
      <c r="G241" s="3" t="s">
        <v>64</v>
      </c>
      <c r="H241" s="5" t="s">
        <v>917</v>
      </c>
      <c r="I241" s="3" t="s">
        <v>2</v>
      </c>
      <c r="J241" s="6">
        <v>45963</v>
      </c>
      <c r="K241" s="6"/>
      <c r="L241" s="2">
        <f>IF(ISBLANK([1]!DATA[[#This Row],[DISCHARGE DATE]]),"NO DISCHARGE DATE",[1]!DATA[[#This Row],[DISCHARGE DATE]]-[1]!DATA[[#This Row],[ADMISSION DATE]]+1)</f>
        <v>145</v>
      </c>
      <c r="M241" s="7">
        <v>350</v>
      </c>
      <c r="N241" s="7">
        <v>364</v>
      </c>
      <c r="O241" s="8" t="s">
        <v>424</v>
      </c>
      <c r="P241" s="8" t="s">
        <v>454</v>
      </c>
      <c r="Q241" s="10" cm="1">
        <f t="array" ref="Q241">_xlfn.IFS([1]!DATA[[#This Row],[TYPE]]="Normal",[1]!DATA[[#This Row],[STORAGE DAYS]]*13,[1]!DATA[[#This Row],[TYPE]]="VIP",[1]!DATA[[#This Row],[STORAGE DAYS]]*20)</f>
        <v>2900</v>
      </c>
      <c r="R241" s="11" t="str">
        <f>IF(ISBLANK([1]!DATA[[#This Row],[COLDROOM RECEIPT]]),"IN CUSTODY","DISCHARGED")</f>
        <v>IN CUSTODY</v>
      </c>
    </row>
    <row r="242" spans="1:18" ht="19.8">
      <c r="A242" s="1" t="s">
        <v>1035</v>
      </c>
      <c r="B242" s="2" t="s">
        <v>1036</v>
      </c>
      <c r="C242" s="2">
        <v>29</v>
      </c>
      <c r="D242" s="3" t="s">
        <v>0</v>
      </c>
      <c r="E242" s="3" t="s">
        <v>1037</v>
      </c>
      <c r="F242" s="21" t="s">
        <v>1038</v>
      </c>
      <c r="G242" s="3" t="s">
        <v>11</v>
      </c>
      <c r="H242" s="5" t="s">
        <v>1039</v>
      </c>
      <c r="I242" s="3" t="s">
        <v>2</v>
      </c>
      <c r="J242" s="6">
        <v>45964</v>
      </c>
      <c r="K242" s="6">
        <v>45995</v>
      </c>
      <c r="L242" s="2" t="str">
        <f>IF(ISBLANK([1]!DATA[[#This Row],[DISCHARGE DATE]]),"NO DISCHARGE DATE",[1]!DATA[[#This Row],[DISCHARGE DATE]]-[1]!DATA[[#This Row],[ADMISSION DATE]]+1)</f>
        <v>NO DISCHARGE DATE</v>
      </c>
      <c r="M242" s="7">
        <v>350</v>
      </c>
      <c r="N242" s="7">
        <v>416</v>
      </c>
      <c r="O242" s="8" t="s">
        <v>744</v>
      </c>
      <c r="P242" s="8">
        <v>119</v>
      </c>
      <c r="Q242" s="10" t="e" cm="1">
        <f t="array" ref="Q242">_xlfn.IFS([1]!DATA[[#This Row],[TYPE]]="Normal",[1]!DATA[[#This Row],[STORAGE DAYS]]*13,[1]!DATA[[#This Row],[TYPE]]="VIP",[1]!DATA[[#This Row],[STORAGE DAYS]]*20)</f>
        <v>#VALUE!</v>
      </c>
      <c r="R242" s="11" t="str">
        <f>IF(ISBLANK([1]!DATA[[#This Row],[COLDROOM RECEIPT]]),"IN CUSTODY","DISCHARGED")</f>
        <v>DISCHARGED</v>
      </c>
    </row>
    <row r="243" spans="1:18" ht="19.8">
      <c r="A243" s="1" t="s">
        <v>1040</v>
      </c>
      <c r="B243" s="2" t="s">
        <v>1041</v>
      </c>
      <c r="C243" s="2">
        <v>68</v>
      </c>
      <c r="D243" s="3" t="s">
        <v>16</v>
      </c>
      <c r="E243" s="3" t="s">
        <v>829</v>
      </c>
      <c r="F243" s="21" t="s">
        <v>1042</v>
      </c>
      <c r="G243" s="3" t="s">
        <v>582</v>
      </c>
      <c r="H243" s="5" t="s">
        <v>1043</v>
      </c>
      <c r="I243" s="3" t="s">
        <v>2</v>
      </c>
      <c r="J243" s="6">
        <v>45964</v>
      </c>
      <c r="K243" s="6"/>
      <c r="L243" s="2">
        <f>IF(ISBLANK([1]!DATA[[#This Row],[DISCHARGE DATE]]),"NO DISCHARGE DATE",[1]!DATA[[#This Row],[DISCHARGE DATE]]-[1]!DATA[[#This Row],[ADMISSION DATE]]+1)</f>
        <v>32</v>
      </c>
      <c r="M243" s="7">
        <v>350</v>
      </c>
      <c r="N243" s="7"/>
      <c r="O243" s="8" t="s">
        <v>552</v>
      </c>
      <c r="P243" s="8"/>
      <c r="Q243" s="10" cm="1">
        <f t="array" ref="Q243">_xlfn.IFS([1]!DATA[[#This Row],[TYPE]]="Normal",[1]!DATA[[#This Row],[STORAGE DAYS]]*13,[1]!DATA[[#This Row],[TYPE]]="VIP",[1]!DATA[[#This Row],[STORAGE DAYS]]*20)</f>
        <v>416</v>
      </c>
      <c r="R243" s="11" t="str">
        <f>IF(ISBLANK([1]!DATA[[#This Row],[COLDROOM RECEIPT]]),"IN CUSTODY","DISCHARGED")</f>
        <v>DISCHARGED</v>
      </c>
    </row>
    <row r="244" spans="1:18" ht="19.8">
      <c r="A244" s="1" t="s">
        <v>1044</v>
      </c>
      <c r="B244" s="2" t="s">
        <v>1045</v>
      </c>
      <c r="C244" s="2">
        <v>62</v>
      </c>
      <c r="D244" s="3" t="s">
        <v>0</v>
      </c>
      <c r="E244" s="3" t="s">
        <v>1046</v>
      </c>
      <c r="F244" s="21" t="s">
        <v>1047</v>
      </c>
      <c r="G244" s="3" t="s">
        <v>200</v>
      </c>
      <c r="H244" s="5" t="s">
        <v>1048</v>
      </c>
      <c r="I244" s="3" t="s">
        <v>145</v>
      </c>
      <c r="J244" s="6">
        <v>45968</v>
      </c>
      <c r="K244" s="6">
        <v>46080</v>
      </c>
      <c r="L244" s="2" t="str">
        <f>IF(ISBLANK([1]!DATA[[#This Row],[DISCHARGE DATE]]),"NO DISCHARGE DATE",[1]!DATA[[#This Row],[DISCHARGE DATE]]-[1]!DATA[[#This Row],[ADMISSION DATE]]+1)</f>
        <v>NO DISCHARGE DATE</v>
      </c>
      <c r="M244" s="7">
        <v>350</v>
      </c>
      <c r="N244" s="7"/>
      <c r="O244" s="8" t="s">
        <v>518</v>
      </c>
      <c r="P244" s="8"/>
      <c r="Q244" s="10" t="e" cm="1">
        <f t="array" ref="Q244">_xlfn.IFS([1]!DATA[[#This Row],[TYPE]]="Normal",[1]!DATA[[#This Row],[STORAGE DAYS]]*13,[1]!DATA[[#This Row],[TYPE]]="VIP",[1]!DATA[[#This Row],[STORAGE DAYS]]*20)</f>
        <v>#VALUE!</v>
      </c>
      <c r="R244" s="11" t="str">
        <f>IF(ISBLANK([1]!DATA[[#This Row],[COLDROOM RECEIPT]]),"IN CUSTODY","DISCHARGED")</f>
        <v>IN CUSTODY</v>
      </c>
    </row>
    <row r="245" spans="1:18" ht="19.8">
      <c r="A245" s="1" t="s">
        <v>1049</v>
      </c>
      <c r="B245" s="2" t="s">
        <v>1050</v>
      </c>
      <c r="C245" s="2">
        <v>63</v>
      </c>
      <c r="D245" s="3" t="s">
        <v>16</v>
      </c>
      <c r="E245" s="3" t="s">
        <v>1051</v>
      </c>
      <c r="F245" s="21" t="s">
        <v>1052</v>
      </c>
      <c r="G245" s="3" t="s">
        <v>18</v>
      </c>
      <c r="H245" s="5" t="s">
        <v>875</v>
      </c>
      <c r="I245" s="3" t="s">
        <v>2</v>
      </c>
      <c r="J245" s="6">
        <v>45971</v>
      </c>
      <c r="K245" s="6">
        <v>46108</v>
      </c>
      <c r="L245" s="2">
        <f>IF(ISBLANK([1]!DATA[[#This Row],[DISCHARGE DATE]]),"NO DISCHARGE DATE",[1]!DATA[[#This Row],[DISCHARGE DATE]]-[1]!DATA[[#This Row],[ADMISSION DATE]]+1)</f>
        <v>113</v>
      </c>
      <c r="M245" s="7">
        <v>350</v>
      </c>
      <c r="N245" s="7"/>
      <c r="O245" s="8" t="s">
        <v>848</v>
      </c>
      <c r="P245" s="8"/>
      <c r="Q245" s="10" cm="1">
        <f t="array" ref="Q245">_xlfn.IFS([1]!DATA[[#This Row],[TYPE]]="Normal",[1]!DATA[[#This Row],[STORAGE DAYS]]*13,[1]!DATA[[#This Row],[TYPE]]="VIP",[1]!DATA[[#This Row],[STORAGE DAYS]]*20)</f>
        <v>2260</v>
      </c>
      <c r="R245" s="11" t="str">
        <f>IF(ISBLANK([1]!DATA[[#This Row],[COLDROOM RECEIPT]]),"IN CUSTODY","DISCHARGED")</f>
        <v>IN CUSTODY</v>
      </c>
    </row>
    <row r="246" spans="1:18" ht="19.8">
      <c r="A246" s="1" t="s">
        <v>1053</v>
      </c>
      <c r="B246" s="2" t="s">
        <v>1054</v>
      </c>
      <c r="C246" s="2">
        <v>54</v>
      </c>
      <c r="D246" s="3" t="s">
        <v>16</v>
      </c>
      <c r="E246" s="3" t="s">
        <v>1055</v>
      </c>
      <c r="F246" s="21">
        <v>248647626</v>
      </c>
      <c r="G246" s="3" t="s">
        <v>1056</v>
      </c>
      <c r="H246" s="5">
        <v>0.67361111111111116</v>
      </c>
      <c r="I246" s="3" t="s">
        <v>2</v>
      </c>
      <c r="J246" s="6">
        <v>45971</v>
      </c>
      <c r="K246" s="6">
        <v>45977</v>
      </c>
      <c r="L246" s="2">
        <f>IF(ISBLANK([1]!DATA[[#This Row],[DISCHARGE DATE]]),"NO DISCHARGE DATE",[1]!DATA[[#This Row],[DISCHARGE DATE]]-[1]!DATA[[#This Row],[ADMISSION DATE]]+1)</f>
        <v>138</v>
      </c>
      <c r="M246" s="7">
        <v>350</v>
      </c>
      <c r="N246" s="7">
        <v>91</v>
      </c>
      <c r="O246" s="8" t="s">
        <v>1057</v>
      </c>
      <c r="P246" s="8" t="s">
        <v>1030</v>
      </c>
      <c r="Q246" s="10" cm="1">
        <f t="array" ref="Q246">_xlfn.IFS([1]!DATA[[#This Row],[TYPE]]="Normal",[1]!DATA[[#This Row],[STORAGE DAYS]]*13,[1]!DATA[[#This Row],[TYPE]]="VIP",[1]!DATA[[#This Row],[STORAGE DAYS]]*20)</f>
        <v>1794</v>
      </c>
      <c r="R246" s="11" t="str">
        <f>IF(ISBLANK([1]!DATA[[#This Row],[COLDROOM RECEIPT]]),"IN CUSTODY","DISCHARGED")</f>
        <v>IN CUSTODY</v>
      </c>
    </row>
    <row r="247" spans="1:18" ht="19.8">
      <c r="A247" s="1" t="s">
        <v>1058</v>
      </c>
      <c r="B247" s="2" t="s">
        <v>1059</v>
      </c>
      <c r="C247" s="2">
        <v>62</v>
      </c>
      <c r="D247" s="3" t="s">
        <v>0</v>
      </c>
      <c r="E247" s="3" t="s">
        <v>1060</v>
      </c>
      <c r="F247" s="21" t="s">
        <v>1061</v>
      </c>
      <c r="G247" s="3" t="s">
        <v>1</v>
      </c>
      <c r="H247" s="5" t="s">
        <v>957</v>
      </c>
      <c r="I247" s="3" t="s">
        <v>2</v>
      </c>
      <c r="J247" s="6">
        <v>45972</v>
      </c>
      <c r="K247" s="6"/>
      <c r="L247" s="2">
        <f>IF(ISBLANK([1]!DATA[[#This Row],[DISCHARGE DATE]]),"NO DISCHARGE DATE",[1]!DATA[[#This Row],[DISCHARGE DATE]]-[1]!DATA[[#This Row],[ADMISSION DATE]]+1)</f>
        <v>7</v>
      </c>
      <c r="M247" s="7">
        <v>350</v>
      </c>
      <c r="N247" s="7"/>
      <c r="O247" s="8" t="s">
        <v>1062</v>
      </c>
      <c r="P247" s="8"/>
      <c r="Q247" s="10" cm="1">
        <f t="array" ref="Q247">_xlfn.IFS([1]!DATA[[#This Row],[TYPE]]="Normal",[1]!DATA[[#This Row],[STORAGE DAYS]]*13,[1]!DATA[[#This Row],[TYPE]]="VIP",[1]!DATA[[#This Row],[STORAGE DAYS]]*20)</f>
        <v>91</v>
      </c>
      <c r="R247" s="11" t="str">
        <f>IF(ISBLANK([1]!DATA[[#This Row],[COLDROOM RECEIPT]]),"IN CUSTODY","DISCHARGED")</f>
        <v>DISCHARGED</v>
      </c>
    </row>
    <row r="248" spans="1:18" ht="19.8">
      <c r="A248" s="1" t="s">
        <v>1063</v>
      </c>
      <c r="B248" s="2" t="s">
        <v>1064</v>
      </c>
      <c r="C248" s="2">
        <v>52</v>
      </c>
      <c r="D248" s="3" t="s">
        <v>16</v>
      </c>
      <c r="E248" s="3" t="s">
        <v>1046</v>
      </c>
      <c r="F248" s="21" t="s">
        <v>1047</v>
      </c>
      <c r="G248" s="3" t="s">
        <v>200</v>
      </c>
      <c r="H248" s="5" t="s">
        <v>1065</v>
      </c>
      <c r="I248" s="3" t="s">
        <v>145</v>
      </c>
      <c r="J248" s="6">
        <v>45972</v>
      </c>
      <c r="K248" s="6">
        <v>46080</v>
      </c>
      <c r="L248" s="2" t="str">
        <f>IF(ISBLANK([1]!DATA[[#This Row],[DISCHARGE DATE]]),"NO DISCHARGE DATE",[1]!DATA[[#This Row],[DISCHARGE DATE]]-[1]!DATA[[#This Row],[ADMISSION DATE]]+1)</f>
        <v>NO DISCHARGE DATE</v>
      </c>
      <c r="M248" s="7">
        <v>350</v>
      </c>
      <c r="N248" s="7"/>
      <c r="O248" s="8" t="s">
        <v>1066</v>
      </c>
      <c r="P248" s="8"/>
      <c r="Q248" s="10" t="e" cm="1">
        <f t="array" ref="Q248">_xlfn.IFS([1]!DATA[[#This Row],[TYPE]]="Normal",[1]!DATA[[#This Row],[STORAGE DAYS]]*13,[1]!DATA[[#This Row],[TYPE]]="VIP",[1]!DATA[[#This Row],[STORAGE DAYS]]*20)</f>
        <v>#VALUE!</v>
      </c>
      <c r="R248" s="11" t="str">
        <f>IF(ISBLANK([1]!DATA[[#This Row],[COLDROOM RECEIPT]]),"IN CUSTODY","DISCHARGED")</f>
        <v>IN CUSTODY</v>
      </c>
    </row>
    <row r="249" spans="1:18" ht="19.8">
      <c r="A249" s="1" t="s">
        <v>1067</v>
      </c>
      <c r="B249" s="2" t="s">
        <v>1068</v>
      </c>
      <c r="C249" s="2">
        <v>77</v>
      </c>
      <c r="D249" s="3" t="s">
        <v>0</v>
      </c>
      <c r="E249" s="3" t="s">
        <v>999</v>
      </c>
      <c r="F249" s="21" t="s">
        <v>1000</v>
      </c>
      <c r="G249" s="3" t="s">
        <v>1</v>
      </c>
      <c r="H249" s="5" t="s">
        <v>1069</v>
      </c>
      <c r="I249" s="3" t="s">
        <v>2</v>
      </c>
      <c r="J249" s="6">
        <v>45973</v>
      </c>
      <c r="K249" s="6">
        <v>46108</v>
      </c>
      <c r="L249" s="2">
        <f>IF(ISBLANK([1]!DATA[[#This Row],[DISCHARGE DATE]]),"NO DISCHARGE DATE",[1]!DATA[[#This Row],[DISCHARGE DATE]]-[1]!DATA[[#This Row],[ADMISSION DATE]]+1)</f>
        <v>109</v>
      </c>
      <c r="M249" s="7">
        <v>350</v>
      </c>
      <c r="N249" s="7"/>
      <c r="O249" s="8" t="s">
        <v>1070</v>
      </c>
      <c r="P249" s="8"/>
      <c r="Q249" s="10" cm="1">
        <f t="array" ref="Q249">_xlfn.IFS([1]!DATA[[#This Row],[TYPE]]="Normal",[1]!DATA[[#This Row],[STORAGE DAYS]]*13,[1]!DATA[[#This Row],[TYPE]]="VIP",[1]!DATA[[#This Row],[STORAGE DAYS]]*20)</f>
        <v>2180</v>
      </c>
      <c r="R249" s="11" t="str">
        <f>IF(ISBLANK([1]!DATA[[#This Row],[COLDROOM RECEIPT]]),"IN CUSTODY","DISCHARGED")</f>
        <v>IN CUSTODY</v>
      </c>
    </row>
    <row r="250" spans="1:18" ht="19.8">
      <c r="A250" s="1" t="s">
        <v>1071</v>
      </c>
      <c r="B250" s="2" t="s">
        <v>36</v>
      </c>
      <c r="C250" s="2">
        <v>63</v>
      </c>
      <c r="D250" s="3" t="s">
        <v>0</v>
      </c>
      <c r="E250" s="3" t="s">
        <v>950</v>
      </c>
      <c r="F250" s="21" t="s">
        <v>951</v>
      </c>
      <c r="G250" s="3" t="s">
        <v>1</v>
      </c>
      <c r="H250" s="5" t="s">
        <v>1072</v>
      </c>
      <c r="I250" s="3" t="s">
        <v>145</v>
      </c>
      <c r="J250" s="6">
        <v>45974</v>
      </c>
      <c r="K250" s="6">
        <v>46108</v>
      </c>
      <c r="L250" s="2">
        <f>IF(ISBLANK([1]!DATA[[#This Row],[DISCHARGE DATE]]),"NO DISCHARGE DATE",[1]!DATA[[#This Row],[DISCHARGE DATE]]-[1]!DATA[[#This Row],[ADMISSION DATE]]+1)</f>
        <v>136</v>
      </c>
      <c r="M250" s="7">
        <v>350</v>
      </c>
      <c r="N250" s="7"/>
      <c r="O250" s="8" t="s">
        <v>1073</v>
      </c>
      <c r="P250" s="8"/>
      <c r="Q250" s="10" cm="1">
        <f t="array" ref="Q250">_xlfn.IFS([1]!DATA[[#This Row],[TYPE]]="Normal",[1]!DATA[[#This Row],[STORAGE DAYS]]*13,[1]!DATA[[#This Row],[TYPE]]="VIP",[1]!DATA[[#This Row],[STORAGE DAYS]]*20)</f>
        <v>1768</v>
      </c>
      <c r="R250" s="11" t="str">
        <f>IF(ISBLANK([1]!DATA[[#This Row],[COLDROOM RECEIPT]]),"IN CUSTODY","DISCHARGED")</f>
        <v>IN CUSTODY</v>
      </c>
    </row>
    <row r="251" spans="1:18" ht="19.8">
      <c r="A251" s="1" t="s">
        <v>1074</v>
      </c>
      <c r="B251" s="2" t="s">
        <v>1075</v>
      </c>
      <c r="C251" s="2">
        <v>38</v>
      </c>
      <c r="D251" s="3" t="s">
        <v>16</v>
      </c>
      <c r="E251" s="3" t="s">
        <v>1076</v>
      </c>
      <c r="F251" s="21" t="s">
        <v>1077</v>
      </c>
      <c r="G251" s="3" t="s">
        <v>1</v>
      </c>
      <c r="H251" s="5" t="s">
        <v>1048</v>
      </c>
      <c r="I251" s="3" t="s">
        <v>2</v>
      </c>
      <c r="J251" s="6">
        <v>45974</v>
      </c>
      <c r="K251" s="6"/>
      <c r="L251" s="2">
        <f>IF(ISBLANK([1]!DATA[[#This Row],[DISCHARGE DATE]]),"NO DISCHARGE DATE",[1]!DATA[[#This Row],[DISCHARGE DATE]]-[1]!DATA[[#This Row],[ADMISSION DATE]]+1)</f>
        <v>135</v>
      </c>
      <c r="M251" s="7">
        <v>350</v>
      </c>
      <c r="N251" s="7"/>
      <c r="O251" s="8" t="s">
        <v>1078</v>
      </c>
      <c r="P251" s="8"/>
      <c r="Q251" s="10" cm="1">
        <f t="array" ref="Q251">_xlfn.IFS([1]!DATA[[#This Row],[TYPE]]="Normal",[1]!DATA[[#This Row],[STORAGE DAYS]]*13,[1]!DATA[[#This Row],[TYPE]]="VIP",[1]!DATA[[#This Row],[STORAGE DAYS]]*20)</f>
        <v>2700</v>
      </c>
      <c r="R251" s="11" t="str">
        <f>IF(ISBLANK([1]!DATA[[#This Row],[COLDROOM RECEIPT]]),"IN CUSTODY","DISCHARGED")</f>
        <v>IN CUSTODY</v>
      </c>
    </row>
    <row r="252" spans="1:18" ht="19.8">
      <c r="A252" s="1" t="s">
        <v>1079</v>
      </c>
      <c r="B252" s="2" t="s">
        <v>1080</v>
      </c>
      <c r="C252" s="2">
        <v>65</v>
      </c>
      <c r="D252" s="3" t="s">
        <v>16</v>
      </c>
      <c r="E252" s="3" t="s">
        <v>592</v>
      </c>
      <c r="F252" s="21">
        <v>247404050</v>
      </c>
      <c r="G252" s="3" t="s">
        <v>1</v>
      </c>
      <c r="H252" s="5" t="s">
        <v>875</v>
      </c>
      <c r="I252" s="3" t="s">
        <v>2</v>
      </c>
      <c r="J252" s="6">
        <v>45976</v>
      </c>
      <c r="K252" s="6">
        <v>46234</v>
      </c>
      <c r="L252" s="2" t="str">
        <f>IF(ISBLANK([1]!DATA[[#This Row],[DISCHARGE DATE]]),"NO DISCHARGE DATE",[1]!DATA[[#This Row],[DISCHARGE DATE]]-[1]!DATA[[#This Row],[ADMISSION DATE]]+1)</f>
        <v>NO DISCHARGE DATE</v>
      </c>
      <c r="M252" s="7">
        <v>350</v>
      </c>
      <c r="N252" s="7"/>
      <c r="O252" s="8" t="s">
        <v>1081</v>
      </c>
      <c r="P252" s="8"/>
      <c r="Q252" s="10" t="e" cm="1">
        <f t="array" ref="Q252">_xlfn.IFS([1]!DATA[[#This Row],[TYPE]]="Normal",[1]!DATA[[#This Row],[STORAGE DAYS]]*13,[1]!DATA[[#This Row],[TYPE]]="VIP",[1]!DATA[[#This Row],[STORAGE DAYS]]*20)</f>
        <v>#VALUE!</v>
      </c>
      <c r="R252" s="11" t="str">
        <f>IF(ISBLANK([1]!DATA[[#This Row],[COLDROOM RECEIPT]]),"IN CUSTODY","DISCHARGED")</f>
        <v>IN CUSTODY</v>
      </c>
    </row>
    <row r="253" spans="1:18" ht="19.8">
      <c r="A253" s="1" t="s">
        <v>1082</v>
      </c>
      <c r="B253" s="2" t="s">
        <v>1083</v>
      </c>
      <c r="C253" s="2">
        <v>92</v>
      </c>
      <c r="D253" s="3" t="s">
        <v>16</v>
      </c>
      <c r="E253" s="3" t="s">
        <v>1084</v>
      </c>
      <c r="F253" s="21" t="s">
        <v>1085</v>
      </c>
      <c r="G253" s="3" t="s">
        <v>200</v>
      </c>
      <c r="H253" s="5" t="s">
        <v>1086</v>
      </c>
      <c r="I253" s="3" t="s">
        <v>2</v>
      </c>
      <c r="J253" s="6">
        <v>45976</v>
      </c>
      <c r="K253" s="6"/>
      <c r="L253" s="2">
        <f>IF(ISBLANK([1]!DATA[[#This Row],[DISCHARGE DATE]]),"NO DISCHARGE DATE",[1]!DATA[[#This Row],[DISCHARGE DATE]]-[1]!DATA[[#This Row],[ADMISSION DATE]]+1)</f>
        <v>259</v>
      </c>
      <c r="M253" s="7">
        <v>350</v>
      </c>
      <c r="N253" s="7"/>
      <c r="O253" s="8" t="s">
        <v>1087</v>
      </c>
      <c r="P253" s="8"/>
      <c r="Q253" s="10" cm="1">
        <f t="array" ref="Q253">_xlfn.IFS([1]!DATA[[#This Row],[TYPE]]="Normal",[1]!DATA[[#This Row],[STORAGE DAYS]]*13,[1]!DATA[[#This Row],[TYPE]]="VIP",[1]!DATA[[#This Row],[STORAGE DAYS]]*20)</f>
        <v>3367</v>
      </c>
      <c r="R253" s="11" t="str">
        <f>IF(ISBLANK([1]!DATA[[#This Row],[COLDROOM RECEIPT]]),"IN CUSTODY","DISCHARGED")</f>
        <v>IN CUSTODY</v>
      </c>
    </row>
    <row r="254" spans="1:18" ht="19.8">
      <c r="A254" s="1" t="s">
        <v>1088</v>
      </c>
      <c r="B254" s="2" t="s">
        <v>1089</v>
      </c>
      <c r="C254" s="2">
        <v>65</v>
      </c>
      <c r="D254" s="3" t="s">
        <v>0</v>
      </c>
      <c r="E254" s="3" t="s">
        <v>829</v>
      </c>
      <c r="F254" s="21" t="s">
        <v>1090</v>
      </c>
      <c r="G254" s="3" t="s">
        <v>1056</v>
      </c>
      <c r="H254" s="5" t="s">
        <v>1069</v>
      </c>
      <c r="I254" s="3" t="s">
        <v>2</v>
      </c>
      <c r="J254" s="6">
        <v>45978</v>
      </c>
      <c r="K254" s="6">
        <v>46129</v>
      </c>
      <c r="L254" s="2" t="str">
        <f>IF(ISBLANK([1]!DATA[[#This Row],[DISCHARGE DATE]]),"NO DISCHARGE DATE",[1]!DATA[[#This Row],[DISCHARGE DATE]]-[1]!DATA[[#This Row],[ADMISSION DATE]]+1)</f>
        <v>NO DISCHARGE DATE</v>
      </c>
      <c r="M254" s="7">
        <v>350</v>
      </c>
      <c r="N254" s="7"/>
      <c r="O254" s="8" t="s">
        <v>1091</v>
      </c>
      <c r="P254" s="8"/>
      <c r="Q254" s="10" t="e" cm="1">
        <f t="array" ref="Q254">_xlfn.IFS([1]!DATA[[#This Row],[TYPE]]="Normal",[1]!DATA[[#This Row],[STORAGE DAYS]]*13,[1]!DATA[[#This Row],[TYPE]]="VIP",[1]!DATA[[#This Row],[STORAGE DAYS]]*20)</f>
        <v>#VALUE!</v>
      </c>
      <c r="R254" s="11" t="str">
        <f>IF(ISBLANK([1]!DATA[[#This Row],[COLDROOM RECEIPT]]),"IN CUSTODY","DISCHARGED")</f>
        <v>IN CUSTODY</v>
      </c>
    </row>
    <row r="255" spans="1:18" ht="19.8">
      <c r="A255" s="1" t="s">
        <v>1092</v>
      </c>
      <c r="B255" s="2" t="s">
        <v>1093</v>
      </c>
      <c r="C255" s="2">
        <v>65</v>
      </c>
      <c r="D255" s="3" t="s">
        <v>0</v>
      </c>
      <c r="E255" s="3" t="s">
        <v>1094</v>
      </c>
      <c r="F255" s="21" t="s">
        <v>1095</v>
      </c>
      <c r="G255" s="3" t="s">
        <v>1</v>
      </c>
      <c r="H255" s="5" t="s">
        <v>957</v>
      </c>
      <c r="I255" s="3" t="s">
        <v>2</v>
      </c>
      <c r="J255" s="6">
        <v>45981</v>
      </c>
      <c r="K255" s="6"/>
      <c r="L255" s="2">
        <f>IF(ISBLANK([1]!DATA[[#This Row],[DISCHARGE DATE]]),"NO DISCHARGE DATE",[1]!DATA[[#This Row],[DISCHARGE DATE]]-[1]!DATA[[#This Row],[ADMISSION DATE]]+1)</f>
        <v>152</v>
      </c>
      <c r="M255" s="7">
        <v>350</v>
      </c>
      <c r="N255" s="7"/>
      <c r="O255" s="8" t="s">
        <v>1096</v>
      </c>
      <c r="P255" s="8"/>
      <c r="Q255" s="10" cm="1">
        <f t="array" ref="Q255">_xlfn.IFS([1]!DATA[[#This Row],[TYPE]]="Normal",[1]!DATA[[#This Row],[STORAGE DAYS]]*13,[1]!DATA[[#This Row],[TYPE]]="VIP",[1]!DATA[[#This Row],[STORAGE DAYS]]*20)</f>
        <v>1976</v>
      </c>
      <c r="R255" s="11" t="str">
        <f>IF(ISBLANK([1]!DATA[[#This Row],[COLDROOM RECEIPT]]),"IN CUSTODY","DISCHARGED")</f>
        <v>IN CUSTODY</v>
      </c>
    </row>
    <row r="256" spans="1:18" ht="19.8">
      <c r="A256" s="1" t="s">
        <v>1097</v>
      </c>
      <c r="B256" s="2" t="s">
        <v>1098</v>
      </c>
      <c r="C256" s="2">
        <v>80</v>
      </c>
      <c r="D256" s="3" t="s">
        <v>16</v>
      </c>
      <c r="E256" s="3" t="s">
        <v>1099</v>
      </c>
      <c r="F256" s="21" t="s">
        <v>1100</v>
      </c>
      <c r="G256" s="3" t="s">
        <v>1</v>
      </c>
      <c r="H256" s="5">
        <v>0.8125</v>
      </c>
      <c r="I256" s="3" t="s">
        <v>145</v>
      </c>
      <c r="J256" s="6">
        <v>45986</v>
      </c>
      <c r="K256" s="6"/>
      <c r="L256" s="2" t="str">
        <f>IF(ISBLANK([1]!DATA[[#This Row],[DISCHARGE DATE]]),"NO DISCHARGE DATE",[1]!DATA[[#This Row],[DISCHARGE DATE]]-[1]!DATA[[#This Row],[ADMISSION DATE]]+1)</f>
        <v>NO DISCHARGE DATE</v>
      </c>
      <c r="M256" s="7">
        <v>350</v>
      </c>
      <c r="N256" s="7"/>
      <c r="O256" s="8" t="s">
        <v>1101</v>
      </c>
      <c r="P256" s="8"/>
      <c r="Q256" s="10" t="e" cm="1">
        <f t="array" ref="Q256">_xlfn.IFS([1]!DATA[[#This Row],[TYPE]]="Normal",[1]!DATA[[#This Row],[STORAGE DAYS]]*13,[1]!DATA[[#This Row],[TYPE]]="VIP",[1]!DATA[[#This Row],[STORAGE DAYS]]*20)</f>
        <v>#VALUE!</v>
      </c>
      <c r="R256" s="11" t="str">
        <f>IF(ISBLANK([1]!DATA[[#This Row],[COLDROOM RECEIPT]]),"IN CUSTODY","DISCHARGED")</f>
        <v>IN CUSTODY</v>
      </c>
    </row>
    <row r="257" spans="1:18" ht="19.8">
      <c r="A257" s="1" t="s">
        <v>1102</v>
      </c>
      <c r="B257" s="2" t="s">
        <v>1103</v>
      </c>
      <c r="C257" s="2">
        <v>101</v>
      </c>
      <c r="D257" s="3" t="s">
        <v>16</v>
      </c>
      <c r="E257" s="3" t="s">
        <v>1104</v>
      </c>
      <c r="F257" s="21" t="s">
        <v>1105</v>
      </c>
      <c r="G257" s="3" t="s">
        <v>1</v>
      </c>
      <c r="H257" s="5" t="s">
        <v>1106</v>
      </c>
      <c r="I257" s="3" t="s">
        <v>2</v>
      </c>
      <c r="J257" s="6">
        <v>45987</v>
      </c>
      <c r="K257" s="6"/>
      <c r="L257" s="2" t="str">
        <f>IF(ISBLANK([1]!DATA[[#This Row],[DISCHARGE DATE]]),"NO DISCHARGE DATE",[1]!DATA[[#This Row],[DISCHARGE DATE]]-[1]!DATA[[#This Row],[ADMISSION DATE]]+1)</f>
        <v>NO DISCHARGE DATE</v>
      </c>
      <c r="M257" s="7">
        <v>350</v>
      </c>
      <c r="N257" s="7"/>
      <c r="O257" s="8" t="s">
        <v>1107</v>
      </c>
      <c r="P257" s="8"/>
      <c r="Q257" s="10" t="e" cm="1">
        <f t="array" ref="Q257">_xlfn.IFS([1]!DATA[[#This Row],[TYPE]]="Normal",[1]!DATA[[#This Row],[STORAGE DAYS]]*13,[1]!DATA[[#This Row],[TYPE]]="VIP",[1]!DATA[[#This Row],[STORAGE DAYS]]*20)</f>
        <v>#VALUE!</v>
      </c>
      <c r="R257" s="11" t="str">
        <f>IF(ISBLANK([1]!DATA[[#This Row],[COLDROOM RECEIPT]]),"IN CUSTODY","DISCHARGED")</f>
        <v>IN CUSTODY</v>
      </c>
    </row>
    <row r="258" spans="1:18" ht="19.8">
      <c r="A258" s="1" t="s">
        <v>1108</v>
      </c>
      <c r="B258" s="2" t="s">
        <v>1109</v>
      </c>
      <c r="C258" s="2">
        <v>52</v>
      </c>
      <c r="D258" s="3" t="s">
        <v>0</v>
      </c>
      <c r="E258" s="3" t="s">
        <v>1110</v>
      </c>
      <c r="F258" s="21" t="s">
        <v>1111</v>
      </c>
      <c r="G258" s="3" t="s">
        <v>11</v>
      </c>
      <c r="H258" s="5" t="s">
        <v>1112</v>
      </c>
      <c r="I258" s="3" t="s">
        <v>2</v>
      </c>
      <c r="J258" s="6">
        <v>45987</v>
      </c>
      <c r="K258" s="6"/>
      <c r="L258" s="2" t="str">
        <f>IF(ISBLANK([1]!DATA[[#This Row],[DISCHARGE DATE]]),"NO DISCHARGE DATE",[1]!DATA[[#This Row],[DISCHARGE DATE]]-[1]!DATA[[#This Row],[ADMISSION DATE]]+1)</f>
        <v>NO DISCHARGE DATE</v>
      </c>
      <c r="M258" s="7">
        <v>350</v>
      </c>
      <c r="N258" s="7"/>
      <c r="O258" s="8" t="s">
        <v>1113</v>
      </c>
      <c r="P258" s="8"/>
      <c r="Q258" s="10" t="e" cm="1">
        <f t="array" ref="Q258">_xlfn.IFS([1]!DATA[[#This Row],[TYPE]]="Normal",[1]!DATA[[#This Row],[STORAGE DAYS]]*13,[1]!DATA[[#This Row],[TYPE]]="VIP",[1]!DATA[[#This Row],[STORAGE DAYS]]*20)</f>
        <v>#VALUE!</v>
      </c>
      <c r="R258" s="11" t="str">
        <f>IF(ISBLANK([1]!DATA[[#This Row],[COLDROOM RECEIPT]]),"IN CUSTODY","DISCHARGED")</f>
        <v>IN CUSTODY</v>
      </c>
    </row>
    <row r="259" spans="1:18" ht="19.8">
      <c r="A259" s="1" t="s">
        <v>1114</v>
      </c>
      <c r="B259" s="2" t="s">
        <v>1115</v>
      </c>
      <c r="C259" s="2">
        <v>52</v>
      </c>
      <c r="D259" s="3" t="s">
        <v>0</v>
      </c>
      <c r="E259" s="3" t="s">
        <v>1116</v>
      </c>
      <c r="F259" s="21" t="s">
        <v>1117</v>
      </c>
      <c r="G259" s="3" t="s">
        <v>156</v>
      </c>
      <c r="H259" s="5" t="s">
        <v>1118</v>
      </c>
      <c r="I259" s="3" t="s">
        <v>2</v>
      </c>
      <c r="J259" s="6">
        <v>45987</v>
      </c>
      <c r="K259" s="6">
        <v>46108</v>
      </c>
      <c r="L259" s="2" t="str">
        <f>IF(ISBLANK([1]!DATA[[#This Row],[DISCHARGE DATE]]),"NO DISCHARGE DATE",[1]!DATA[[#This Row],[DISCHARGE DATE]]-[1]!DATA[[#This Row],[ADMISSION DATE]]+1)</f>
        <v>NO DISCHARGE DATE</v>
      </c>
      <c r="M259" s="7">
        <v>350</v>
      </c>
      <c r="N259" s="7"/>
      <c r="O259" s="8" t="s">
        <v>1119</v>
      </c>
      <c r="P259" s="8"/>
      <c r="Q259" s="10" t="e" cm="1">
        <f t="array" ref="Q259">_xlfn.IFS([1]!DATA[[#This Row],[TYPE]]="Normal",[1]!DATA[[#This Row],[STORAGE DAYS]]*13,[1]!DATA[[#This Row],[TYPE]]="VIP",[1]!DATA[[#This Row],[STORAGE DAYS]]*20)</f>
        <v>#VALUE!</v>
      </c>
      <c r="R259" s="11" t="str">
        <f>IF(ISBLANK([1]!DATA[[#This Row],[COLDROOM RECEIPT]]),"IN CUSTODY","DISCHARGED")</f>
        <v>IN CUSTODY</v>
      </c>
    </row>
    <row r="260" spans="1:18" ht="19.8">
      <c r="A260" s="1" t="s">
        <v>1120</v>
      </c>
      <c r="B260" s="2" t="s">
        <v>1121</v>
      </c>
      <c r="C260" s="2">
        <v>85</v>
      </c>
      <c r="D260" s="3" t="s">
        <v>16</v>
      </c>
      <c r="E260" s="3" t="s">
        <v>1122</v>
      </c>
      <c r="F260" s="21" t="s">
        <v>1123</v>
      </c>
      <c r="G260" s="3" t="s">
        <v>156</v>
      </c>
      <c r="H260" s="5" t="s">
        <v>1118</v>
      </c>
      <c r="I260" s="3" t="s">
        <v>2</v>
      </c>
      <c r="J260" s="6">
        <v>45988</v>
      </c>
      <c r="K260" s="6">
        <v>46108</v>
      </c>
      <c r="L260" s="2">
        <f>IF(ISBLANK([1]!DATA[[#This Row],[DISCHARGE DATE]]),"NO DISCHARGE DATE",[1]!DATA[[#This Row],[DISCHARGE DATE]]-[1]!DATA[[#This Row],[ADMISSION DATE]]+1)</f>
        <v>122</v>
      </c>
      <c r="M260" s="7">
        <v>350</v>
      </c>
      <c r="N260" s="7"/>
      <c r="O260" s="8" t="s">
        <v>1124</v>
      </c>
      <c r="P260" s="8"/>
      <c r="Q260" s="10" cm="1">
        <f t="array" ref="Q260">_xlfn.IFS([1]!DATA[[#This Row],[TYPE]]="Normal",[1]!DATA[[#This Row],[STORAGE DAYS]]*13,[1]!DATA[[#This Row],[TYPE]]="VIP",[1]!DATA[[#This Row],[STORAGE DAYS]]*20)</f>
        <v>1586</v>
      </c>
      <c r="R260" s="11" t="str">
        <f>IF(ISBLANK([1]!DATA[[#This Row],[COLDROOM RECEIPT]]),"IN CUSTODY","DISCHARGED")</f>
        <v>IN CUSTODY</v>
      </c>
    </row>
    <row r="261" spans="1:18" ht="19.8">
      <c r="A261" s="1" t="s">
        <v>1125</v>
      </c>
      <c r="B261" s="2" t="s">
        <v>205</v>
      </c>
      <c r="C261" s="2">
        <v>60</v>
      </c>
      <c r="D261" s="3" t="s">
        <v>0</v>
      </c>
      <c r="E261" s="3" t="s">
        <v>1126</v>
      </c>
      <c r="F261" s="21" t="s">
        <v>1127</v>
      </c>
      <c r="G261" s="3" t="s">
        <v>1128</v>
      </c>
      <c r="H261" s="5" t="s">
        <v>1129</v>
      </c>
      <c r="I261" s="3" t="s">
        <v>2</v>
      </c>
      <c r="J261" s="6">
        <v>45988</v>
      </c>
      <c r="K261" s="6"/>
      <c r="L261" s="2">
        <f>IF(ISBLANK([1]!DATA[[#This Row],[DISCHARGE DATE]]),"NO DISCHARGE DATE",[1]!DATA[[#This Row],[DISCHARGE DATE]]-[1]!DATA[[#This Row],[ADMISSION DATE]]+1)</f>
        <v>121</v>
      </c>
      <c r="M261" s="7">
        <v>350</v>
      </c>
      <c r="N261" s="7"/>
      <c r="O261" s="8" t="s">
        <v>1130</v>
      </c>
      <c r="P261" s="8"/>
      <c r="Q261" s="10" cm="1">
        <f t="array" ref="Q261">_xlfn.IFS([1]!DATA[[#This Row],[TYPE]]="Normal",[1]!DATA[[#This Row],[STORAGE DAYS]]*13,[1]!DATA[[#This Row],[TYPE]]="VIP",[1]!DATA[[#This Row],[STORAGE DAYS]]*20)</f>
        <v>1573</v>
      </c>
      <c r="R261" s="11" t="str">
        <f>IF(ISBLANK([1]!DATA[[#This Row],[COLDROOM RECEIPT]]),"IN CUSTODY","DISCHARGED")</f>
        <v>IN CUSTODY</v>
      </c>
    </row>
    <row r="262" spans="1:18" ht="19.8">
      <c r="A262" s="1" t="s">
        <v>1131</v>
      </c>
      <c r="B262" s="2" t="s">
        <v>1132</v>
      </c>
      <c r="C262" s="2">
        <v>80</v>
      </c>
      <c r="D262" s="3" t="s">
        <v>0</v>
      </c>
      <c r="E262" s="3" t="s">
        <v>1133</v>
      </c>
      <c r="F262" s="21" t="s">
        <v>1134</v>
      </c>
      <c r="G262" s="3" t="s">
        <v>1</v>
      </c>
      <c r="H262" s="5" t="s">
        <v>1135</v>
      </c>
      <c r="I262" s="3" t="s">
        <v>145</v>
      </c>
      <c r="J262" s="6">
        <v>45993</v>
      </c>
      <c r="K262" s="6"/>
      <c r="L262" s="2" t="str">
        <f>IF(ISBLANK([1]!DATA[[#This Row],[DISCHARGE DATE]]),"NO DISCHARGE DATE",[1]!DATA[[#This Row],[DISCHARGE DATE]]-[1]!DATA[[#This Row],[ADMISSION DATE]]+1)</f>
        <v>NO DISCHARGE DATE</v>
      </c>
      <c r="M262" s="7">
        <v>350</v>
      </c>
      <c r="N262" s="7"/>
      <c r="O262" s="8" t="s">
        <v>1136</v>
      </c>
      <c r="P262" s="8"/>
      <c r="Q262" s="9" t="e">
        <v>#VALUE!</v>
      </c>
      <c r="R262" s="11" t="s">
        <v>1137</v>
      </c>
    </row>
    <row r="263" spans="1:18" ht="19.8">
      <c r="A263" s="1" t="s">
        <v>1138</v>
      </c>
      <c r="B263" s="2" t="s">
        <v>1139</v>
      </c>
      <c r="C263" s="2">
        <v>67</v>
      </c>
      <c r="D263" s="3" t="s">
        <v>16</v>
      </c>
      <c r="E263" s="3" t="s">
        <v>560</v>
      </c>
      <c r="F263" s="21" t="s">
        <v>1140</v>
      </c>
      <c r="G263" s="3" t="s">
        <v>1</v>
      </c>
      <c r="H263" s="5" t="s">
        <v>1141</v>
      </c>
      <c r="I263" s="3" t="s">
        <v>145</v>
      </c>
      <c r="J263" s="6">
        <v>45994</v>
      </c>
      <c r="K263" s="6"/>
      <c r="L263" s="2" t="str">
        <f>IF(ISBLANK([1]!DATA[[#This Row],[DISCHARGE DATE]]),"NO DISCHARGE DATE",[1]!DATA[[#This Row],[DISCHARGE DATE]]-[1]!DATA[[#This Row],[ADMISSION DATE]]+1)</f>
        <v>NO DISCHARGE DATE</v>
      </c>
      <c r="M263" s="7">
        <v>350</v>
      </c>
      <c r="N263" s="7"/>
      <c r="O263" s="8" t="s">
        <v>1142</v>
      </c>
      <c r="P263" s="8"/>
      <c r="Q263" s="9" t="e">
        <v>#VALUE!</v>
      </c>
      <c r="R263" s="11" t="s">
        <v>1137</v>
      </c>
    </row>
    <row r="264" spans="1:18" ht="19.8">
      <c r="A264" s="1" t="s">
        <v>1143</v>
      </c>
      <c r="B264" s="2" t="s">
        <v>1144</v>
      </c>
      <c r="C264" s="2">
        <v>6</v>
      </c>
      <c r="D264" s="3" t="s">
        <v>16</v>
      </c>
      <c r="E264" s="3" t="s">
        <v>1145</v>
      </c>
      <c r="F264" s="21">
        <v>550985768</v>
      </c>
      <c r="G264" s="3" t="s">
        <v>18</v>
      </c>
      <c r="H264" s="5">
        <v>0.85416666666666663</v>
      </c>
      <c r="I264" s="3" t="s">
        <v>2</v>
      </c>
      <c r="J264" s="6">
        <v>45994</v>
      </c>
      <c r="K264" s="6">
        <v>45997</v>
      </c>
      <c r="L264" s="2" t="str">
        <f>IF(ISBLANK([1]!DATA[[#This Row],[DISCHARGE DATE]]),"NO DISCHARGE DATE",[1]!DATA[[#This Row],[DISCHARGE DATE]]-[1]!DATA[[#This Row],[ADMISSION DATE]]+1)</f>
        <v>NO DISCHARGE DATE</v>
      </c>
      <c r="M264" s="7">
        <v>350</v>
      </c>
      <c r="N264" s="7">
        <v>52</v>
      </c>
      <c r="O264" s="8" t="s">
        <v>1146</v>
      </c>
      <c r="P264" s="8">
        <v>121</v>
      </c>
      <c r="Q264" s="10" t="e" cm="1">
        <f t="array" ref="Q264">_xlfn.IFS([1]!DATA[[#This Row],[TYPE]]="Normal",[1]!DATA[[#This Row],[STORAGE DAYS]]*13,[1]!DATA[[#This Row],[TYPE]]="VIP",[1]!DATA[[#This Row],[STORAGE DAYS]]*20)</f>
        <v>#VALUE!</v>
      </c>
      <c r="R264" s="11" t="str">
        <f>IF(ISBLANK([1]!DATA[[#This Row],[COLDROOM RECEIPT]]),"IN CUSTODY","DISCHARGED")</f>
        <v>IN CUSTODY</v>
      </c>
    </row>
    <row r="265" spans="1:18" ht="19.8">
      <c r="A265" s="1" t="s">
        <v>1147</v>
      </c>
      <c r="B265" s="2" t="s">
        <v>1148</v>
      </c>
      <c r="C265" s="2">
        <v>70</v>
      </c>
      <c r="D265" s="3" t="s">
        <v>16</v>
      </c>
      <c r="E265" s="3" t="s">
        <v>1149</v>
      </c>
      <c r="F265" s="21">
        <v>242512984</v>
      </c>
      <c r="G265" s="3" t="s">
        <v>1</v>
      </c>
      <c r="H265" s="5">
        <v>0.39583333333333331</v>
      </c>
      <c r="I265" s="3" t="s">
        <v>145</v>
      </c>
      <c r="J265" s="6">
        <v>45996</v>
      </c>
      <c r="K265" s="6"/>
      <c r="L265" s="2">
        <f>IF(ISBLANK([1]!DATA[[#This Row],[DISCHARGE DATE]]),"NO DISCHARGE DATE",[1]!DATA[[#This Row],[DISCHARGE DATE]]-[1]!DATA[[#This Row],[ADMISSION DATE]]+1)</f>
        <v>4</v>
      </c>
      <c r="M265" s="7">
        <v>350</v>
      </c>
      <c r="N265" s="7"/>
      <c r="O265" s="8">
        <v>270</v>
      </c>
      <c r="P265" s="8"/>
      <c r="Q265" s="10" cm="1">
        <f t="array" ref="Q265">_xlfn.IFS([1]!DATA[[#This Row],[TYPE]]="Normal",[1]!DATA[[#This Row],[STORAGE DAYS]]*13,[1]!DATA[[#This Row],[TYPE]]="VIP",[1]!DATA[[#This Row],[STORAGE DAYS]]*20)</f>
        <v>52</v>
      </c>
      <c r="R265" s="11" t="str">
        <f>IF(ISBLANK([1]!DATA[[#This Row],[COLDROOM RECEIPT]]),"IN CUSTODY","DISCHARGED")</f>
        <v>DISCHARGED</v>
      </c>
    </row>
    <row r="266" spans="1:18" ht="19.8">
      <c r="A266" s="1" t="s">
        <v>1150</v>
      </c>
      <c r="B266" s="2" t="s">
        <v>1151</v>
      </c>
      <c r="C266" s="2">
        <v>65</v>
      </c>
      <c r="D266" s="3" t="s">
        <v>16</v>
      </c>
      <c r="E266" s="3" t="s">
        <v>1152</v>
      </c>
      <c r="F266" s="4">
        <v>248131246</v>
      </c>
      <c r="G266" s="3" t="s">
        <v>1</v>
      </c>
      <c r="H266" s="5">
        <v>0.41666666666666669</v>
      </c>
      <c r="I266" s="3" t="s">
        <v>2</v>
      </c>
      <c r="J266" s="6">
        <v>45996</v>
      </c>
      <c r="K266" s="6"/>
      <c r="L266" s="2" t="str">
        <f>IF(ISBLANK([1]!DATA[[#This Row],[DISCHARGE DATE]]),"NO DISCHARGE DATE",[1]!DATA[[#This Row],[DISCHARGE DATE]]-[1]!DATA[[#This Row],[ADMISSION DATE]]+1)</f>
        <v>NO DISCHARGE DATE</v>
      </c>
      <c r="M266" s="7">
        <v>350</v>
      </c>
      <c r="N266" s="7"/>
      <c r="O266" s="8">
        <v>271</v>
      </c>
      <c r="P266" s="8"/>
      <c r="Q266" s="10" t="e" cm="1">
        <f t="array" ref="Q266">_xlfn.IFS([1]!DATA[[#This Row],[TYPE]]="Normal",[1]!DATA[[#This Row],[STORAGE DAYS]]*13,[1]!DATA[[#This Row],[TYPE]]="VIP",[1]!DATA[[#This Row],[STORAGE DAYS]]*20)</f>
        <v>#VALUE!</v>
      </c>
      <c r="R266" s="11" t="str">
        <f>IF(ISBLANK([1]!DATA[[#This Row],[COLDROOM RECEIPT]]),"IN CUSTODY","DISCHARGED")</f>
        <v>IN CUSTODY</v>
      </c>
    </row>
    <row r="267" spans="1:18" ht="19.8">
      <c r="A267" s="1" t="s">
        <v>1153</v>
      </c>
      <c r="B267" s="2" t="s">
        <v>1154</v>
      </c>
      <c r="C267" s="2">
        <v>39</v>
      </c>
      <c r="D267" s="3" t="s">
        <v>0</v>
      </c>
      <c r="E267" s="3" t="s">
        <v>1005</v>
      </c>
      <c r="F267" s="4">
        <v>554620203</v>
      </c>
      <c r="G267" s="3" t="s">
        <v>1007</v>
      </c>
      <c r="H267" s="5">
        <v>0.34722222222222221</v>
      </c>
      <c r="I267" s="3" t="s">
        <v>145</v>
      </c>
      <c r="J267" s="6">
        <v>45999</v>
      </c>
      <c r="K267" s="6"/>
      <c r="L267" s="2" t="str">
        <f>IF(ISBLANK([1]!DATA[[#This Row],[DISCHARGE DATE]]),"NO DISCHARGE DATE",[1]!DATA[[#This Row],[DISCHARGE DATE]]-[1]!DATA[[#This Row],[ADMISSION DATE]]+1)</f>
        <v>NO DISCHARGE DATE</v>
      </c>
      <c r="M267" s="7">
        <v>350</v>
      </c>
      <c r="N267" s="7"/>
      <c r="O267" s="8">
        <v>272</v>
      </c>
      <c r="P267" s="8"/>
      <c r="Q267" s="10" t="e" cm="1">
        <f t="array" ref="Q267">_xlfn.IFS([1]!DATA[[#This Row],[TYPE]]="Normal",[1]!DATA[[#This Row],[STORAGE DAYS]]*13,[1]!DATA[[#This Row],[TYPE]]="VIP",[1]!DATA[[#This Row],[STORAGE DAYS]]*20)</f>
        <v>#VALUE!</v>
      </c>
      <c r="R267" s="11" t="str">
        <f>IF(ISBLANK([1]!DATA[[#This Row],[COLDROOM RECEIPT]]),"IN CUSTODY","DISCHARGED")</f>
        <v>IN CUSTODY</v>
      </c>
    </row>
    <row r="268" spans="1:18" ht="19.8">
      <c r="A268" s="1" t="s">
        <v>1155</v>
      </c>
      <c r="B268" s="2" t="s">
        <v>1156</v>
      </c>
      <c r="C268" s="2">
        <v>45</v>
      </c>
      <c r="D268" s="3" t="s">
        <v>0</v>
      </c>
      <c r="E268" s="3" t="s">
        <v>1157</v>
      </c>
      <c r="F268" s="4">
        <v>549685856</v>
      </c>
      <c r="G268" s="3" t="s">
        <v>582</v>
      </c>
      <c r="H268" s="5">
        <v>0.27083333333333331</v>
      </c>
      <c r="I268" s="3" t="s">
        <v>145</v>
      </c>
      <c r="J268" s="6">
        <v>45997</v>
      </c>
      <c r="K268" s="6"/>
      <c r="L268" s="2" t="str">
        <f>IF(ISBLANK([1]!DATA[[#This Row],[DISCHARGE DATE]]),"NO DISCHARGE DATE",[1]!DATA[[#This Row],[DISCHARGE DATE]]-[1]!DATA[[#This Row],[ADMISSION DATE]]+1)</f>
        <v>NO DISCHARGE DATE</v>
      </c>
      <c r="M268" s="7">
        <v>350</v>
      </c>
      <c r="N268" s="7"/>
      <c r="O268" s="8">
        <v>273</v>
      </c>
      <c r="P268" s="8"/>
      <c r="Q268" s="10" t="e" cm="1">
        <f t="array" ref="Q268">_xlfn.IFS([1]!DATA[[#This Row],[TYPE]]="Normal",[1]!DATA[[#This Row],[STORAGE DAYS]]*13,[1]!DATA[[#This Row],[TYPE]]="VIP",[1]!DATA[[#This Row],[STORAGE DAYS]]*20)</f>
        <v>#VALUE!</v>
      </c>
      <c r="R268" s="11" t="str">
        <f>IF(ISBLANK([1]!DATA[[#This Row],[COLDROOM RECEIPT]]),"IN CUSTODY","DISCHARGED")</f>
        <v>IN CUSTODY</v>
      </c>
    </row>
    <row r="269" spans="1:18" ht="19.8">
      <c r="A269" s="1" t="s">
        <v>1158</v>
      </c>
      <c r="B269" s="2" t="s">
        <v>1159</v>
      </c>
      <c r="C269" s="2">
        <v>35</v>
      </c>
      <c r="D269" s="3" t="s">
        <v>16</v>
      </c>
      <c r="E269" s="3" t="s">
        <v>1160</v>
      </c>
      <c r="F269" s="4">
        <v>241372177</v>
      </c>
      <c r="G269" s="3" t="s">
        <v>1</v>
      </c>
      <c r="H269" s="5">
        <v>0.41666666666666669</v>
      </c>
      <c r="I269" s="3" t="s">
        <v>2</v>
      </c>
      <c r="J269" s="6">
        <v>45999</v>
      </c>
      <c r="K269" s="6"/>
      <c r="L269" s="2" t="str">
        <f>IF(ISBLANK([1]!DATA[[#This Row],[DISCHARGE DATE]]),"NO DISCHARGE DATE",[1]!DATA[[#This Row],[DISCHARGE DATE]]-[1]!DATA[[#This Row],[ADMISSION DATE]]+1)</f>
        <v>NO DISCHARGE DATE</v>
      </c>
      <c r="M269" s="7">
        <v>350</v>
      </c>
      <c r="N269" s="7"/>
      <c r="O269" s="8">
        <v>274</v>
      </c>
      <c r="P269" s="8"/>
      <c r="Q269" s="10" t="e" cm="1">
        <f t="array" ref="Q269">_xlfn.IFS([1]!DATA[[#This Row],[TYPE]]="Normal",[1]!DATA[[#This Row],[STORAGE DAYS]]*13,[1]!DATA[[#This Row],[TYPE]]="VIP",[1]!DATA[[#This Row],[STORAGE DAYS]]*20)</f>
        <v>#VALUE!</v>
      </c>
      <c r="R269" s="11" t="str">
        <f>IF(ISBLANK([1]!DATA[[#This Row],[COLDROOM RECEIPT]]),"IN CUSTODY","DISCHARGED")</f>
        <v>IN CUSTODY</v>
      </c>
    </row>
    <row r="270" spans="1:18" ht="19.8">
      <c r="A270" s="1" t="s">
        <v>1161</v>
      </c>
      <c r="B270" s="2" t="s">
        <v>1162</v>
      </c>
      <c r="C270" s="2">
        <v>62</v>
      </c>
      <c r="D270" s="3" t="s">
        <v>16</v>
      </c>
      <c r="E270" s="3" t="s">
        <v>1163</v>
      </c>
      <c r="F270" s="4">
        <v>540042991</v>
      </c>
      <c r="G270" s="3" t="s">
        <v>1</v>
      </c>
      <c r="H270" s="5">
        <v>0.8125</v>
      </c>
      <c r="I270" s="3" t="s">
        <v>2</v>
      </c>
      <c r="J270" s="6">
        <v>46002</v>
      </c>
      <c r="K270" s="6"/>
      <c r="L270" s="2" t="str">
        <f>IF(ISBLANK([1]!DATA[[#This Row],[DISCHARGE DATE]]),"NO DISCHARGE DATE",[1]!DATA[[#This Row],[DISCHARGE DATE]]-[1]!DATA[[#This Row],[ADMISSION DATE]]+1)</f>
        <v>NO DISCHARGE DATE</v>
      </c>
      <c r="M270" s="7">
        <v>350</v>
      </c>
      <c r="N270" s="7"/>
      <c r="O270" s="8">
        <v>275</v>
      </c>
      <c r="P270" s="8"/>
      <c r="Q270" s="10" t="e" cm="1">
        <f t="array" ref="Q270">_xlfn.IFS([1]!DATA[[#This Row],[TYPE]]="Normal",[1]!DATA[[#This Row],[STORAGE DAYS]]*13,[1]!DATA[[#This Row],[TYPE]]="VIP",[1]!DATA[[#This Row],[STORAGE DAYS]]*20)</f>
        <v>#VALUE!</v>
      </c>
      <c r="R270" s="11" t="str">
        <f>IF(ISBLANK([1]!DATA[[#This Row],[COLDROOM RECEIPT]]),"IN CUSTODY","DISCHARGED")</f>
        <v>IN CUSTODY</v>
      </c>
    </row>
    <row r="271" spans="1:18" ht="19.8">
      <c r="A271" s="1" t="s">
        <v>1164</v>
      </c>
      <c r="B271" s="2" t="s">
        <v>1165</v>
      </c>
      <c r="C271" s="2">
        <v>36</v>
      </c>
      <c r="D271" s="3" t="s">
        <v>16</v>
      </c>
      <c r="E271" s="3" t="s">
        <v>1166</v>
      </c>
      <c r="F271" s="4">
        <v>241385818</v>
      </c>
      <c r="G271" s="3" t="s">
        <v>1</v>
      </c>
      <c r="H271" s="5">
        <v>0.125</v>
      </c>
      <c r="I271" s="3" t="s">
        <v>2</v>
      </c>
      <c r="J271" s="6">
        <v>46004</v>
      </c>
      <c r="K271" s="6"/>
      <c r="L271" s="2" t="str">
        <f>IF(ISBLANK([1]!DATA[[#This Row],[DISCHARGE DATE]]),"NO DISCHARGE DATE",[1]!DATA[[#This Row],[DISCHARGE DATE]]-[1]!DATA[[#This Row],[ADMISSION DATE]]+1)</f>
        <v>NO DISCHARGE DATE</v>
      </c>
      <c r="M271" s="7">
        <v>350</v>
      </c>
      <c r="N271" s="7"/>
      <c r="O271" s="8">
        <v>276</v>
      </c>
      <c r="P271" s="8"/>
      <c r="Q271" s="10" t="e" cm="1">
        <f t="array" ref="Q271">_xlfn.IFS([1]!DATA[[#This Row],[TYPE]]="Normal",[1]!DATA[[#This Row],[STORAGE DAYS]]*13,[1]!DATA[[#This Row],[TYPE]]="VIP",[1]!DATA[[#This Row],[STORAGE DAYS]]*20)</f>
        <v>#VALUE!</v>
      </c>
      <c r="R271" s="11" t="str">
        <f>IF(ISBLANK([1]!DATA[[#This Row],[COLDROOM RECEIPT]]),"IN CUSTODY","DISCHARGED")</f>
        <v>IN CUSTODY</v>
      </c>
    </row>
    <row r="272" spans="1:18" ht="19.8">
      <c r="A272" s="1" t="s">
        <v>1167</v>
      </c>
      <c r="B272" s="2" t="s">
        <v>1168</v>
      </c>
      <c r="C272" s="2">
        <v>75</v>
      </c>
      <c r="D272" s="3" t="s">
        <v>16</v>
      </c>
      <c r="E272" s="3" t="s">
        <v>1169</v>
      </c>
      <c r="F272" s="4">
        <v>541089136</v>
      </c>
      <c r="G272" s="3" t="s">
        <v>1</v>
      </c>
      <c r="H272" s="5">
        <v>0.46527777777777779</v>
      </c>
      <c r="I272" s="3" t="s">
        <v>2</v>
      </c>
      <c r="J272" s="6">
        <v>46006</v>
      </c>
      <c r="K272" s="6"/>
      <c r="L272" s="2" t="str">
        <f>IF(ISBLANK([1]!DATA[[#This Row],[DISCHARGE DATE]]),"NO DISCHARGE DATE",[1]!DATA[[#This Row],[DISCHARGE DATE]]-[1]!DATA[[#This Row],[ADMISSION DATE]]+1)</f>
        <v>NO DISCHARGE DATE</v>
      </c>
      <c r="M272" s="7">
        <v>350</v>
      </c>
      <c r="N272" s="7"/>
      <c r="O272" s="8">
        <v>277</v>
      </c>
      <c r="P272" s="8"/>
      <c r="Q272" s="10" t="e" cm="1">
        <f t="array" ref="Q272">_xlfn.IFS([1]!DATA[[#This Row],[TYPE]]="Normal",[1]!DATA[[#This Row],[STORAGE DAYS]]*13,[1]!DATA[[#This Row],[TYPE]]="VIP",[1]!DATA[[#This Row],[STORAGE DAYS]]*20)</f>
        <v>#VALUE!</v>
      </c>
      <c r="R272" s="11" t="str">
        <f>IF(ISBLANK([1]!DATA[[#This Row],[COLDROOM RECEIPT]]),"IN CUSTODY","DISCHARGED")</f>
        <v>IN CUSTODY</v>
      </c>
    </row>
  </sheetData>
  <autoFilter ref="A1:R272" xr:uid="{2A2EDA59-4ECE-4F05-805F-DC8F427FC05C}"/>
  <conditionalFormatting sqref="D2:D263">
    <cfRule type="containsText" dxfId="13" priority="15" operator="containsText" text="Female">
      <formula>NOT(ISERROR(SEARCH("Female",D2)))</formula>
    </cfRule>
    <cfRule type="containsText" dxfId="12" priority="16" operator="containsText" text="Male">
      <formula>NOT(ISERROR(SEARCH("Male",D2)))</formula>
    </cfRule>
  </conditionalFormatting>
  <conditionalFormatting sqref="J139 I140:J140 J141:J144 K139:K144 J146:K148 I141:I263 I2:I139">
    <cfRule type="containsText" dxfId="11" priority="17" operator="containsText" text="VIP">
      <formula>NOT(ISERROR(SEARCH("VIP",I2)))</formula>
    </cfRule>
    <cfRule type="containsText" dxfId="10" priority="18" operator="containsText" text="Normal">
      <formula>NOT(ISERROR(SEARCH("Normal",I2)))</formula>
    </cfRule>
  </conditionalFormatting>
  <conditionalFormatting sqref="D264:D265">
    <cfRule type="containsText" dxfId="9" priority="9" operator="containsText" text="Female">
      <formula>NOT(ISERROR(SEARCH("Female",D264)))</formula>
    </cfRule>
    <cfRule type="containsText" dxfId="8" priority="10" operator="containsText" text="Male">
      <formula>NOT(ISERROR(SEARCH("Male",D264)))</formula>
    </cfRule>
  </conditionalFormatting>
  <conditionalFormatting sqref="I264:I265">
    <cfRule type="containsText" dxfId="7" priority="11" operator="containsText" text="VIP">
      <formula>NOT(ISERROR(SEARCH("VIP",I264)))</formula>
    </cfRule>
    <cfRule type="containsText" dxfId="6" priority="12" operator="containsText" text="Normal">
      <formula>NOT(ISERROR(SEARCH("Normal",I264)))</formula>
    </cfRule>
  </conditionalFormatting>
  <conditionalFormatting sqref="D266:D272">
    <cfRule type="containsText" dxfId="5" priority="3" operator="containsText" text="Female">
      <formula>NOT(ISERROR(SEARCH("Female",D266)))</formula>
    </cfRule>
    <cfRule type="containsText" dxfId="4" priority="4" operator="containsText" text="Male">
      <formula>NOT(ISERROR(SEARCH("Male",D266)))</formula>
    </cfRule>
  </conditionalFormatting>
  <conditionalFormatting sqref="I266:I272">
    <cfRule type="containsText" dxfId="3" priority="5" operator="containsText" text="VIP">
      <formula>NOT(ISERROR(SEARCH("VIP",I266)))</formula>
    </cfRule>
    <cfRule type="containsText" dxfId="2" priority="6" operator="containsText" text="Normal">
      <formula>NOT(ISERROR(SEARCH("Normal",I266)))</formula>
    </cfRule>
  </conditionalFormatting>
  <conditionalFormatting sqref="I1">
    <cfRule type="containsText" dxfId="1" priority="1" operator="containsText" text="VIP">
      <formula>NOT(ISERROR(SEARCH("VIP",I1)))</formula>
    </cfRule>
    <cfRule type="containsText" dxfId="0" priority="2" operator="containsText" text="Normal">
      <formula>NOT(ISERROR(SEARCH("Normal",I1)))</formula>
    </cfRule>
  </conditionalFormatting>
  <dataValidations count="3">
    <dataValidation type="list" allowBlank="1" showInputMessage="1" showErrorMessage="1" sqref="R2:R272" xr:uid="{28B8747B-2730-4E82-8695-FF637DF73C3B}">
      <formula1>"DISCHARGED, IN-STORE"</formula1>
    </dataValidation>
    <dataValidation type="list" allowBlank="1" showInputMessage="1" showErrorMessage="1" sqref="I2:I272" xr:uid="{719F9DF0-9FFE-4CE9-BEE4-B0C5CD042F15}">
      <formula1>"Normal,VIP"</formula1>
    </dataValidation>
    <dataValidation type="list" allowBlank="1" showInputMessage="1" showErrorMessage="1" sqref="D2:D272" xr:uid="{F7752F8C-275A-41B2-B986-AE108CA28DF1}">
      <formula1>"Male,Female"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Kpodonu, Gideon</dc:creator>
  <cp:lastModifiedBy>Doctor Barns</cp:lastModifiedBy>
  <dcterms:created xsi:type="dcterms:W3CDTF">2025-12-18T13:37:02Z</dcterms:created>
  <dcterms:modified xsi:type="dcterms:W3CDTF">2025-12-22T03:00:20Z</dcterms:modified>
</cp:coreProperties>
</file>